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 -006\Desktop\StiCommande\data\"/>
    </mc:Choice>
  </mc:AlternateContent>
  <xr:revisionPtr revIDLastSave="0" documentId="13_ncr:1_{C163AF4E-1064-4762-A545-299B5E6EE1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ynthèse Globale" sheetId="1" r:id="rId1"/>
    <sheet name="100 IMP" sheetId="2" r:id="rId2"/>
    <sheet name="100 IZI" sheetId="3" r:id="rId3"/>
    <sheet name="200 STAT" sheetId="4" r:id="rId4"/>
    <sheet name="500 STAT" sheetId="5" r:id="rId5"/>
    <sheet name="1000 STAT" sheetId="6" r:id="rId6"/>
    <sheet name="200 IMP" sheetId="7" r:id="rId7"/>
    <sheet name="500 IMP" sheetId="8" r:id="rId8"/>
    <sheet name="1000 IMP" sheetId="9" r:id="rId9"/>
    <sheet name="2000 STAT" sheetId="10" r:id="rId10"/>
    <sheet name="1500 STAT" sheetId="11" r:id="rId11"/>
    <sheet name="1500 IMP" sheetId="12" r:id="rId12"/>
    <sheet name="2000 IMP" sheetId="13" r:id="rId13"/>
    <sheet name="1200  STAT" sheetId="14" r:id="rId14"/>
    <sheet name="3500 STAT" sheetId="15" r:id="rId15"/>
  </sheets>
  <calcPr calcId="181029"/>
</workbook>
</file>

<file path=xl/calcChain.xml><?xml version="1.0" encoding="utf-8"?>
<calcChain xmlns="http://schemas.openxmlformats.org/spreadsheetml/2006/main">
  <c r="E17" i="2" l="1"/>
  <c r="D8" i="15"/>
  <c r="F8" i="15" s="1"/>
  <c r="C8" i="15"/>
  <c r="G8" i="15" s="1"/>
  <c r="G7" i="15"/>
  <c r="F7" i="15"/>
  <c r="E7" i="15"/>
  <c r="G6" i="15"/>
  <c r="F6" i="15"/>
  <c r="E6" i="15"/>
  <c r="G5" i="15"/>
  <c r="F5" i="15"/>
  <c r="E5" i="15"/>
  <c r="E8" i="15" s="1"/>
  <c r="F8" i="14"/>
  <c r="D8" i="14"/>
  <c r="C8" i="14"/>
  <c r="G8" i="14" s="1"/>
  <c r="G7" i="14"/>
  <c r="F7" i="14"/>
  <c r="E7" i="14"/>
  <c r="G6" i="14"/>
  <c r="F6" i="14"/>
  <c r="E6" i="14"/>
  <c r="G5" i="14"/>
  <c r="F5" i="14"/>
  <c r="E5" i="14"/>
  <c r="E8" i="14" s="1"/>
  <c r="D14" i="13"/>
  <c r="F14" i="13" s="1"/>
  <c r="C14" i="13"/>
  <c r="G14" i="13" s="1"/>
  <c r="G13" i="13"/>
  <c r="F13" i="13"/>
  <c r="E13" i="13"/>
  <c r="G12" i="13"/>
  <c r="F12" i="13"/>
  <c r="E12" i="13"/>
  <c r="G11" i="13"/>
  <c r="F11" i="13"/>
  <c r="E11" i="13"/>
  <c r="G10" i="13"/>
  <c r="F10" i="13"/>
  <c r="E10" i="13"/>
  <c r="G9" i="13"/>
  <c r="F9" i="13"/>
  <c r="E9" i="13"/>
  <c r="G8" i="13"/>
  <c r="F8" i="13"/>
  <c r="E8" i="13"/>
  <c r="G7" i="13"/>
  <c r="F7" i="13"/>
  <c r="E7" i="13"/>
  <c r="G6" i="13"/>
  <c r="F6" i="13"/>
  <c r="E6" i="13"/>
  <c r="G5" i="13"/>
  <c r="F5" i="13"/>
  <c r="E5" i="13"/>
  <c r="E14" i="13" s="1"/>
  <c r="D22" i="12"/>
  <c r="F22" i="12" s="1"/>
  <c r="C22" i="12"/>
  <c r="G22" i="12" s="1"/>
  <c r="G21" i="12"/>
  <c r="F21" i="12"/>
  <c r="E21" i="12"/>
  <c r="G20" i="12"/>
  <c r="F20" i="12"/>
  <c r="E20" i="12"/>
  <c r="G19" i="12"/>
  <c r="F19" i="12"/>
  <c r="E19" i="12"/>
  <c r="G18" i="12"/>
  <c r="F18" i="12"/>
  <c r="E18" i="12"/>
  <c r="G17" i="12"/>
  <c r="F17" i="12"/>
  <c r="E17" i="12"/>
  <c r="G16" i="12"/>
  <c r="F16" i="12"/>
  <c r="E16" i="12"/>
  <c r="G15" i="12"/>
  <c r="F15" i="12"/>
  <c r="E15" i="12"/>
  <c r="G14" i="12"/>
  <c r="F14" i="12"/>
  <c r="E14" i="12"/>
  <c r="G13" i="12"/>
  <c r="F13" i="12"/>
  <c r="E13" i="12"/>
  <c r="G12" i="12"/>
  <c r="F12" i="12"/>
  <c r="E12" i="12"/>
  <c r="G11" i="12"/>
  <c r="F11" i="12"/>
  <c r="E11" i="12"/>
  <c r="G10" i="12"/>
  <c r="F10" i="12"/>
  <c r="E10" i="12"/>
  <c r="G9" i="12"/>
  <c r="F9" i="12"/>
  <c r="E9" i="12"/>
  <c r="G8" i="12"/>
  <c r="F8" i="12"/>
  <c r="E8" i="12"/>
  <c r="G7" i="12"/>
  <c r="F7" i="12"/>
  <c r="E7" i="12"/>
  <c r="G6" i="12"/>
  <c r="F6" i="12"/>
  <c r="E6" i="12"/>
  <c r="G5" i="12"/>
  <c r="F5" i="12"/>
  <c r="E5" i="12"/>
  <c r="E22" i="12" s="1"/>
  <c r="D11" i="11"/>
  <c r="F11" i="11" s="1"/>
  <c r="C11" i="11"/>
  <c r="G11" i="11" s="1"/>
  <c r="G10" i="11"/>
  <c r="F10" i="11"/>
  <c r="E10" i="11"/>
  <c r="G9" i="11"/>
  <c r="F9" i="11"/>
  <c r="E9" i="11"/>
  <c r="G8" i="11"/>
  <c r="F8" i="11"/>
  <c r="E8" i="11"/>
  <c r="G7" i="11"/>
  <c r="F7" i="11"/>
  <c r="E7" i="11"/>
  <c r="G6" i="11"/>
  <c r="F6" i="11"/>
  <c r="E6" i="11"/>
  <c r="G5" i="11"/>
  <c r="F5" i="11"/>
  <c r="E5" i="11"/>
  <c r="E11" i="11" s="1"/>
  <c r="D16" i="10"/>
  <c r="F16" i="10" s="1"/>
  <c r="C16" i="10"/>
  <c r="G16" i="10" s="1"/>
  <c r="G15" i="10"/>
  <c r="F15" i="10"/>
  <c r="E15" i="10"/>
  <c r="G14" i="10"/>
  <c r="F14" i="10"/>
  <c r="E14" i="10"/>
  <c r="G13" i="10"/>
  <c r="F13" i="10"/>
  <c r="E13" i="10"/>
  <c r="G12" i="10"/>
  <c r="F12" i="10"/>
  <c r="E12" i="10"/>
  <c r="G11" i="10"/>
  <c r="F11" i="10"/>
  <c r="E11" i="10"/>
  <c r="G10" i="10"/>
  <c r="F10" i="10"/>
  <c r="E10" i="10"/>
  <c r="G9" i="10"/>
  <c r="F9" i="10"/>
  <c r="E9" i="10"/>
  <c r="G8" i="10"/>
  <c r="F8" i="10"/>
  <c r="E8" i="10"/>
  <c r="G7" i="10"/>
  <c r="F7" i="10"/>
  <c r="E7" i="10"/>
  <c r="G6" i="10"/>
  <c r="F6" i="10"/>
  <c r="E6" i="10"/>
  <c r="G5" i="10"/>
  <c r="F5" i="10"/>
  <c r="E5" i="10"/>
  <c r="E16" i="10" s="1"/>
  <c r="D17" i="9"/>
  <c r="F17" i="9" s="1"/>
  <c r="C17" i="9"/>
  <c r="G17" i="9" s="1"/>
  <c r="G16" i="9"/>
  <c r="F16" i="9"/>
  <c r="E16" i="9"/>
  <c r="G15" i="9"/>
  <c r="F15" i="9"/>
  <c r="E15" i="9"/>
  <c r="G14" i="9"/>
  <c r="F14" i="9"/>
  <c r="E14" i="9"/>
  <c r="G13" i="9"/>
  <c r="F13" i="9"/>
  <c r="E13" i="9"/>
  <c r="G12" i="9"/>
  <c r="F12" i="9"/>
  <c r="E12" i="9"/>
  <c r="G11" i="9"/>
  <c r="F11" i="9"/>
  <c r="E11" i="9"/>
  <c r="G10" i="9"/>
  <c r="F10" i="9"/>
  <c r="E10" i="9"/>
  <c r="G9" i="9"/>
  <c r="F9" i="9"/>
  <c r="E9" i="9"/>
  <c r="G8" i="9"/>
  <c r="F8" i="9"/>
  <c r="E8" i="9"/>
  <c r="G7" i="9"/>
  <c r="F7" i="9"/>
  <c r="E7" i="9"/>
  <c r="E17" i="9" s="1"/>
  <c r="G6" i="9"/>
  <c r="F6" i="9"/>
  <c r="E6" i="9"/>
  <c r="G5" i="9"/>
  <c r="F5" i="9"/>
  <c r="E5" i="9"/>
  <c r="F15" i="8"/>
  <c r="D15" i="8"/>
  <c r="C15" i="8"/>
  <c r="G15" i="8" s="1"/>
  <c r="G14" i="8"/>
  <c r="F14" i="8"/>
  <c r="E14" i="8"/>
  <c r="G13" i="8"/>
  <c r="F13" i="8"/>
  <c r="E13" i="8"/>
  <c r="G12" i="8"/>
  <c r="F12" i="8"/>
  <c r="E12" i="8"/>
  <c r="G11" i="8"/>
  <c r="F11" i="8"/>
  <c r="E11" i="8"/>
  <c r="G10" i="8"/>
  <c r="F10" i="8"/>
  <c r="E10" i="8"/>
  <c r="G9" i="8"/>
  <c r="F9" i="8"/>
  <c r="E9" i="8"/>
  <c r="G8" i="8"/>
  <c r="F8" i="8"/>
  <c r="E8" i="8"/>
  <c r="G7" i="8"/>
  <c r="F7" i="8"/>
  <c r="E7" i="8"/>
  <c r="G6" i="8"/>
  <c r="F6" i="8"/>
  <c r="E6" i="8"/>
  <c r="G5" i="8"/>
  <c r="F5" i="8"/>
  <c r="E5" i="8"/>
  <c r="E15" i="8" s="1"/>
  <c r="D15" i="7"/>
  <c r="F15" i="7" s="1"/>
  <c r="C15" i="7"/>
  <c r="G15" i="7" s="1"/>
  <c r="G14" i="7"/>
  <c r="F14" i="7"/>
  <c r="E14" i="7"/>
  <c r="G13" i="7"/>
  <c r="F13" i="7"/>
  <c r="E13" i="7"/>
  <c r="G12" i="7"/>
  <c r="F12" i="7"/>
  <c r="E12" i="7"/>
  <c r="G11" i="7"/>
  <c r="F11" i="7"/>
  <c r="E11" i="7"/>
  <c r="G10" i="7"/>
  <c r="F10" i="7"/>
  <c r="E10" i="7"/>
  <c r="G9" i="7"/>
  <c r="F9" i="7"/>
  <c r="E9" i="7"/>
  <c r="G8" i="7"/>
  <c r="F8" i="7"/>
  <c r="E8" i="7"/>
  <c r="G7" i="7"/>
  <c r="F7" i="7"/>
  <c r="E7" i="7"/>
  <c r="G6" i="7"/>
  <c r="F6" i="7"/>
  <c r="E6" i="7"/>
  <c r="G5" i="7"/>
  <c r="F5" i="7"/>
  <c r="E5" i="7"/>
  <c r="E15" i="7" s="1"/>
  <c r="D18" i="6"/>
  <c r="F18" i="6" s="1"/>
  <c r="C18" i="6"/>
  <c r="G18" i="6" s="1"/>
  <c r="G17" i="6"/>
  <c r="F17" i="6"/>
  <c r="E17" i="6"/>
  <c r="G16" i="6"/>
  <c r="F16" i="6"/>
  <c r="E16" i="6"/>
  <c r="G15" i="6"/>
  <c r="F15" i="6"/>
  <c r="E15" i="6"/>
  <c r="G14" i="6"/>
  <c r="F14" i="6"/>
  <c r="E14" i="6"/>
  <c r="G13" i="6"/>
  <c r="F13" i="6"/>
  <c r="E13" i="6"/>
  <c r="G12" i="6"/>
  <c r="F12" i="6"/>
  <c r="E12" i="6"/>
  <c r="G11" i="6"/>
  <c r="F11" i="6"/>
  <c r="E11" i="6"/>
  <c r="G10" i="6"/>
  <c r="F10" i="6"/>
  <c r="E10" i="6"/>
  <c r="G9" i="6"/>
  <c r="F9" i="6"/>
  <c r="E9" i="6"/>
  <c r="G8" i="6"/>
  <c r="F8" i="6"/>
  <c r="E8" i="6"/>
  <c r="G7" i="6"/>
  <c r="F7" i="6"/>
  <c r="E7" i="6"/>
  <c r="G6" i="6"/>
  <c r="F6" i="6"/>
  <c r="E6" i="6"/>
  <c r="G5" i="6"/>
  <c r="F5" i="6"/>
  <c r="E5" i="6"/>
  <c r="E18" i="6" s="1"/>
  <c r="D19" i="5"/>
  <c r="F19" i="5" s="1"/>
  <c r="C19" i="5"/>
  <c r="G19" i="5" s="1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F5" i="5"/>
  <c r="E5" i="5"/>
  <c r="E19" i="5" s="1"/>
  <c r="D16" i="4"/>
  <c r="C16" i="4"/>
  <c r="F16" i="4" s="1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E16" i="4" s="1"/>
  <c r="D48" i="3"/>
  <c r="F48" i="3" s="1"/>
  <c r="C48" i="3"/>
  <c r="G48" i="3" s="1"/>
  <c r="G47" i="3"/>
  <c r="F47" i="3"/>
  <c r="E47" i="3"/>
  <c r="G46" i="3"/>
  <c r="F46" i="3"/>
  <c r="E46" i="3"/>
  <c r="G45" i="3"/>
  <c r="F45" i="3"/>
  <c r="E45" i="3"/>
  <c r="G44" i="3"/>
  <c r="F44" i="3"/>
  <c r="E44" i="3"/>
  <c r="G43" i="3"/>
  <c r="F43" i="3"/>
  <c r="E43" i="3"/>
  <c r="G42" i="3"/>
  <c r="F42" i="3"/>
  <c r="E42" i="3"/>
  <c r="G41" i="3"/>
  <c r="F41" i="3"/>
  <c r="E41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E48" i="3" s="1"/>
  <c r="G5" i="3"/>
  <c r="F5" i="3"/>
  <c r="E5" i="3"/>
  <c r="D186" i="2"/>
  <c r="F186" i="2" s="1"/>
  <c r="C186" i="2"/>
  <c r="G186" i="2" s="1"/>
  <c r="G185" i="2"/>
  <c r="F185" i="2"/>
  <c r="E185" i="2"/>
  <c r="G184" i="2"/>
  <c r="F184" i="2"/>
  <c r="E184" i="2"/>
  <c r="G183" i="2"/>
  <c r="F183" i="2"/>
  <c r="E183" i="2"/>
  <c r="G182" i="2"/>
  <c r="F182" i="2"/>
  <c r="E182" i="2"/>
  <c r="G181" i="2"/>
  <c r="F181" i="2"/>
  <c r="E181" i="2"/>
  <c r="G180" i="2"/>
  <c r="F180" i="2"/>
  <c r="E180" i="2"/>
  <c r="G179" i="2"/>
  <c r="F179" i="2"/>
  <c r="E179" i="2"/>
  <c r="G178" i="2"/>
  <c r="F178" i="2"/>
  <c r="E178" i="2"/>
  <c r="G177" i="2"/>
  <c r="F177" i="2"/>
  <c r="E177" i="2"/>
  <c r="G176" i="2"/>
  <c r="F176" i="2"/>
  <c r="E176" i="2"/>
  <c r="G175" i="2"/>
  <c r="F175" i="2"/>
  <c r="E175" i="2"/>
  <c r="G174" i="2"/>
  <c r="F174" i="2"/>
  <c r="E174" i="2"/>
  <c r="G173" i="2"/>
  <c r="F173" i="2"/>
  <c r="E173" i="2"/>
  <c r="G172" i="2"/>
  <c r="F172" i="2"/>
  <c r="E172" i="2"/>
  <c r="G171" i="2"/>
  <c r="F171" i="2"/>
  <c r="E171" i="2"/>
  <c r="G170" i="2"/>
  <c r="F170" i="2"/>
  <c r="E170" i="2"/>
  <c r="G169" i="2"/>
  <c r="F169" i="2"/>
  <c r="E169" i="2"/>
  <c r="G168" i="2"/>
  <c r="F168" i="2"/>
  <c r="E168" i="2"/>
  <c r="G167" i="2"/>
  <c r="F167" i="2"/>
  <c r="E167" i="2"/>
  <c r="G166" i="2"/>
  <c r="F166" i="2"/>
  <c r="E166" i="2"/>
  <c r="G165" i="2"/>
  <c r="F165" i="2"/>
  <c r="E165" i="2"/>
  <c r="G164" i="2"/>
  <c r="F164" i="2"/>
  <c r="E164" i="2"/>
  <c r="G163" i="2"/>
  <c r="F163" i="2"/>
  <c r="E163" i="2"/>
  <c r="G162" i="2"/>
  <c r="F162" i="2"/>
  <c r="E162" i="2"/>
  <c r="G161" i="2"/>
  <c r="F161" i="2"/>
  <c r="E161" i="2"/>
  <c r="G160" i="2"/>
  <c r="F160" i="2"/>
  <c r="E160" i="2"/>
  <c r="G159" i="2"/>
  <c r="F159" i="2"/>
  <c r="E159" i="2"/>
  <c r="G158" i="2"/>
  <c r="F158" i="2"/>
  <c r="E158" i="2"/>
  <c r="G157" i="2"/>
  <c r="F157" i="2"/>
  <c r="E157" i="2"/>
  <c r="G156" i="2"/>
  <c r="F156" i="2"/>
  <c r="E156" i="2"/>
  <c r="G155" i="2"/>
  <c r="F155" i="2"/>
  <c r="E155" i="2"/>
  <c r="G154" i="2"/>
  <c r="F154" i="2"/>
  <c r="E154" i="2"/>
  <c r="G153" i="2"/>
  <c r="F153" i="2"/>
  <c r="E153" i="2"/>
  <c r="G152" i="2"/>
  <c r="F152" i="2"/>
  <c r="E152" i="2"/>
  <c r="G151" i="2"/>
  <c r="F151" i="2"/>
  <c r="E151" i="2"/>
  <c r="G150" i="2"/>
  <c r="F150" i="2"/>
  <c r="E150" i="2"/>
  <c r="G149" i="2"/>
  <c r="F149" i="2"/>
  <c r="E149" i="2"/>
  <c r="G148" i="2"/>
  <c r="F148" i="2"/>
  <c r="E148" i="2"/>
  <c r="G147" i="2"/>
  <c r="F147" i="2"/>
  <c r="E147" i="2"/>
  <c r="G146" i="2"/>
  <c r="F146" i="2"/>
  <c r="E146" i="2"/>
  <c r="G145" i="2"/>
  <c r="F145" i="2"/>
  <c r="E145" i="2"/>
  <c r="G144" i="2"/>
  <c r="F144" i="2"/>
  <c r="E144" i="2"/>
  <c r="G143" i="2"/>
  <c r="F143" i="2"/>
  <c r="E143" i="2"/>
  <c r="G142" i="2"/>
  <c r="F142" i="2"/>
  <c r="E142" i="2"/>
  <c r="G141" i="2"/>
  <c r="F141" i="2"/>
  <c r="E141" i="2"/>
  <c r="G140" i="2"/>
  <c r="F140" i="2"/>
  <c r="E140" i="2"/>
  <c r="G139" i="2"/>
  <c r="F139" i="2"/>
  <c r="E139" i="2"/>
  <c r="G138" i="2"/>
  <c r="F138" i="2"/>
  <c r="E138" i="2"/>
  <c r="G137" i="2"/>
  <c r="F137" i="2"/>
  <c r="E137" i="2"/>
  <c r="G136" i="2"/>
  <c r="F136" i="2"/>
  <c r="E136" i="2"/>
  <c r="G135" i="2"/>
  <c r="F135" i="2"/>
  <c r="E135" i="2"/>
  <c r="G134" i="2"/>
  <c r="F134" i="2"/>
  <c r="E134" i="2"/>
  <c r="G133" i="2"/>
  <c r="F133" i="2"/>
  <c r="E133" i="2"/>
  <c r="G132" i="2"/>
  <c r="F132" i="2"/>
  <c r="E132" i="2"/>
  <c r="G131" i="2"/>
  <c r="F131" i="2"/>
  <c r="E131" i="2"/>
  <c r="G130" i="2"/>
  <c r="F130" i="2"/>
  <c r="E130" i="2"/>
  <c r="G129" i="2"/>
  <c r="F129" i="2"/>
  <c r="E129" i="2"/>
  <c r="G128" i="2"/>
  <c r="F128" i="2"/>
  <c r="E128" i="2"/>
  <c r="G127" i="2"/>
  <c r="F127" i="2"/>
  <c r="E127" i="2"/>
  <c r="G126" i="2"/>
  <c r="F126" i="2"/>
  <c r="E126" i="2"/>
  <c r="G125" i="2"/>
  <c r="F125" i="2"/>
  <c r="E125" i="2"/>
  <c r="G124" i="2"/>
  <c r="F124" i="2"/>
  <c r="E124" i="2"/>
  <c r="G123" i="2"/>
  <c r="F123" i="2"/>
  <c r="E123" i="2"/>
  <c r="G122" i="2"/>
  <c r="F122" i="2"/>
  <c r="E122" i="2"/>
  <c r="G121" i="2"/>
  <c r="F121" i="2"/>
  <c r="E121" i="2"/>
  <c r="G120" i="2"/>
  <c r="F120" i="2"/>
  <c r="E120" i="2"/>
  <c r="G119" i="2"/>
  <c r="F119" i="2"/>
  <c r="E119" i="2"/>
  <c r="G118" i="2"/>
  <c r="F118" i="2"/>
  <c r="E118" i="2"/>
  <c r="G117" i="2"/>
  <c r="F117" i="2"/>
  <c r="E117" i="2"/>
  <c r="G116" i="2"/>
  <c r="F116" i="2"/>
  <c r="E116" i="2"/>
  <c r="G115" i="2"/>
  <c r="F115" i="2"/>
  <c r="E115" i="2"/>
  <c r="G114" i="2"/>
  <c r="F114" i="2"/>
  <c r="E114" i="2"/>
  <c r="G113" i="2"/>
  <c r="F113" i="2"/>
  <c r="E113" i="2"/>
  <c r="G112" i="2"/>
  <c r="F112" i="2"/>
  <c r="E112" i="2"/>
  <c r="G111" i="2"/>
  <c r="F111" i="2"/>
  <c r="E111" i="2"/>
  <c r="G110" i="2"/>
  <c r="F110" i="2"/>
  <c r="E110" i="2"/>
  <c r="G109" i="2"/>
  <c r="F109" i="2"/>
  <c r="E109" i="2"/>
  <c r="G108" i="2"/>
  <c r="F108" i="2"/>
  <c r="E108" i="2"/>
  <c r="G107" i="2"/>
  <c r="F107" i="2"/>
  <c r="E107" i="2"/>
  <c r="G106" i="2"/>
  <c r="F106" i="2"/>
  <c r="E106" i="2"/>
  <c r="G105" i="2"/>
  <c r="F105" i="2"/>
  <c r="E105" i="2"/>
  <c r="G104" i="2"/>
  <c r="F104" i="2"/>
  <c r="E104" i="2"/>
  <c r="G103" i="2"/>
  <c r="F103" i="2"/>
  <c r="E103" i="2"/>
  <c r="G102" i="2"/>
  <c r="F102" i="2"/>
  <c r="E102" i="2"/>
  <c r="G101" i="2"/>
  <c r="F101" i="2"/>
  <c r="E101" i="2"/>
  <c r="G100" i="2"/>
  <c r="F100" i="2"/>
  <c r="E100" i="2"/>
  <c r="G99" i="2"/>
  <c r="F99" i="2"/>
  <c r="E99" i="2"/>
  <c r="G98" i="2"/>
  <c r="F98" i="2"/>
  <c r="E98" i="2"/>
  <c r="G97" i="2"/>
  <c r="F97" i="2"/>
  <c r="E97" i="2"/>
  <c r="G96" i="2"/>
  <c r="F96" i="2"/>
  <c r="E96" i="2"/>
  <c r="G95" i="2"/>
  <c r="F95" i="2"/>
  <c r="E95" i="2"/>
  <c r="G94" i="2"/>
  <c r="F94" i="2"/>
  <c r="E94" i="2"/>
  <c r="G93" i="2"/>
  <c r="F93" i="2"/>
  <c r="E93" i="2"/>
  <c r="G92" i="2"/>
  <c r="F92" i="2"/>
  <c r="E92" i="2"/>
  <c r="G91" i="2"/>
  <c r="F91" i="2"/>
  <c r="E91" i="2"/>
  <c r="G90" i="2"/>
  <c r="F90" i="2"/>
  <c r="E90" i="2"/>
  <c r="G89" i="2"/>
  <c r="F89" i="2"/>
  <c r="E89" i="2"/>
  <c r="G88" i="2"/>
  <c r="F88" i="2"/>
  <c r="E88" i="2"/>
  <c r="G87" i="2"/>
  <c r="F87" i="2"/>
  <c r="E87" i="2"/>
  <c r="G86" i="2"/>
  <c r="F86" i="2"/>
  <c r="E86" i="2"/>
  <c r="G85" i="2"/>
  <c r="F85" i="2"/>
  <c r="E85" i="2"/>
  <c r="G84" i="2"/>
  <c r="F84" i="2"/>
  <c r="E84" i="2"/>
  <c r="G83" i="2"/>
  <c r="F83" i="2"/>
  <c r="E83" i="2"/>
  <c r="G82" i="2"/>
  <c r="F82" i="2"/>
  <c r="E82" i="2"/>
  <c r="G81" i="2"/>
  <c r="F81" i="2"/>
  <c r="E81" i="2"/>
  <c r="G80" i="2"/>
  <c r="F80" i="2"/>
  <c r="E80" i="2"/>
  <c r="G79" i="2"/>
  <c r="F79" i="2"/>
  <c r="E79" i="2"/>
  <c r="G78" i="2"/>
  <c r="F78" i="2"/>
  <c r="E78" i="2"/>
  <c r="G77" i="2"/>
  <c r="F77" i="2"/>
  <c r="E77" i="2"/>
  <c r="G76" i="2"/>
  <c r="F76" i="2"/>
  <c r="E76" i="2"/>
  <c r="G75" i="2"/>
  <c r="F75" i="2"/>
  <c r="E75" i="2"/>
  <c r="G74" i="2"/>
  <c r="F74" i="2"/>
  <c r="E74" i="2"/>
  <c r="G73" i="2"/>
  <c r="F73" i="2"/>
  <c r="E73" i="2"/>
  <c r="G72" i="2"/>
  <c r="F72" i="2"/>
  <c r="E72" i="2"/>
  <c r="G71" i="2"/>
  <c r="F71" i="2"/>
  <c r="E71" i="2"/>
  <c r="G70" i="2"/>
  <c r="F70" i="2"/>
  <c r="E70" i="2"/>
  <c r="G69" i="2"/>
  <c r="F69" i="2"/>
  <c r="E69" i="2"/>
  <c r="G68" i="2"/>
  <c r="F68" i="2"/>
  <c r="E68" i="2"/>
  <c r="G67" i="2"/>
  <c r="F67" i="2"/>
  <c r="E67" i="2"/>
  <c r="G66" i="2"/>
  <c r="F66" i="2"/>
  <c r="E66" i="2"/>
  <c r="G65" i="2"/>
  <c r="F65" i="2"/>
  <c r="E65" i="2"/>
  <c r="G64" i="2"/>
  <c r="F64" i="2"/>
  <c r="E64" i="2"/>
  <c r="G63" i="2"/>
  <c r="F63" i="2"/>
  <c r="E63" i="2"/>
  <c r="G62" i="2"/>
  <c r="F62" i="2"/>
  <c r="E62" i="2"/>
  <c r="G61" i="2"/>
  <c r="F61" i="2"/>
  <c r="E61" i="2"/>
  <c r="G60" i="2"/>
  <c r="F60" i="2"/>
  <c r="E60" i="2"/>
  <c r="G59" i="2"/>
  <c r="F59" i="2"/>
  <c r="E59" i="2"/>
  <c r="G58" i="2"/>
  <c r="F58" i="2"/>
  <c r="E58" i="2"/>
  <c r="G57" i="2"/>
  <c r="F57" i="2"/>
  <c r="E57" i="2"/>
  <c r="G56" i="2"/>
  <c r="F56" i="2"/>
  <c r="E56" i="2"/>
  <c r="G55" i="2"/>
  <c r="F55" i="2"/>
  <c r="E55" i="2"/>
  <c r="G54" i="2"/>
  <c r="F54" i="2"/>
  <c r="E54" i="2"/>
  <c r="G53" i="2"/>
  <c r="F53" i="2"/>
  <c r="E53" i="2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G47" i="2"/>
  <c r="F47" i="2"/>
  <c r="E47" i="2"/>
  <c r="G46" i="2"/>
  <c r="F46" i="2"/>
  <c r="E46" i="2"/>
  <c r="G45" i="2"/>
  <c r="F45" i="2"/>
  <c r="E45" i="2"/>
  <c r="G44" i="2"/>
  <c r="F44" i="2"/>
  <c r="E44" i="2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E186" i="2" s="1"/>
  <c r="E213" i="1"/>
  <c r="G213" i="1" s="1"/>
  <c r="D213" i="1"/>
  <c r="H213" i="1" s="1"/>
  <c r="H212" i="1"/>
  <c r="G212" i="1"/>
  <c r="F212" i="1"/>
  <c r="H211" i="1"/>
  <c r="G211" i="1"/>
  <c r="F211" i="1"/>
  <c r="H210" i="1"/>
  <c r="G210" i="1"/>
  <c r="F210" i="1"/>
  <c r="H209" i="1"/>
  <c r="G209" i="1"/>
  <c r="F209" i="1"/>
  <c r="H208" i="1"/>
  <c r="G208" i="1"/>
  <c r="F208" i="1"/>
  <c r="H207" i="1"/>
  <c r="G207" i="1"/>
  <c r="F207" i="1"/>
  <c r="H206" i="1"/>
  <c r="G206" i="1"/>
  <c r="F206" i="1"/>
  <c r="H205" i="1"/>
  <c r="G205" i="1"/>
  <c r="F205" i="1"/>
  <c r="H204" i="1"/>
  <c r="G204" i="1"/>
  <c r="F204" i="1"/>
  <c r="H203" i="1"/>
  <c r="G203" i="1"/>
  <c r="F203" i="1"/>
  <c r="H202" i="1"/>
  <c r="G202" i="1"/>
  <c r="F202" i="1"/>
  <c r="H201" i="1"/>
  <c r="G201" i="1"/>
  <c r="F201" i="1"/>
  <c r="H200" i="1"/>
  <c r="G200" i="1"/>
  <c r="F200" i="1"/>
  <c r="H199" i="1"/>
  <c r="G199" i="1"/>
  <c r="F199" i="1"/>
  <c r="H198" i="1"/>
  <c r="G198" i="1"/>
  <c r="F198" i="1"/>
  <c r="H197" i="1"/>
  <c r="G197" i="1"/>
  <c r="F197" i="1"/>
  <c r="H196" i="1"/>
  <c r="G196" i="1"/>
  <c r="F196" i="1"/>
  <c r="H195" i="1"/>
  <c r="G195" i="1"/>
  <c r="F195" i="1"/>
  <c r="H194" i="1"/>
  <c r="G194" i="1"/>
  <c r="F194" i="1"/>
  <c r="H193" i="1"/>
  <c r="G193" i="1"/>
  <c r="F193" i="1"/>
  <c r="H192" i="1"/>
  <c r="G192" i="1"/>
  <c r="F192" i="1"/>
  <c r="H191" i="1"/>
  <c r="G191" i="1"/>
  <c r="F191" i="1"/>
  <c r="H190" i="1"/>
  <c r="G190" i="1"/>
  <c r="F190" i="1"/>
  <c r="H189" i="1"/>
  <c r="G189" i="1"/>
  <c r="F189" i="1"/>
  <c r="H188" i="1"/>
  <c r="G188" i="1"/>
  <c r="F188" i="1"/>
  <c r="H187" i="1"/>
  <c r="G187" i="1"/>
  <c r="F187" i="1"/>
  <c r="H186" i="1"/>
  <c r="G186" i="1"/>
  <c r="F186" i="1"/>
  <c r="H185" i="1"/>
  <c r="G185" i="1"/>
  <c r="F185" i="1"/>
  <c r="H184" i="1"/>
  <c r="G184" i="1"/>
  <c r="F184" i="1"/>
  <c r="H183" i="1"/>
  <c r="G183" i="1"/>
  <c r="F183" i="1"/>
  <c r="H182" i="1"/>
  <c r="G182" i="1"/>
  <c r="F182" i="1"/>
  <c r="H181" i="1"/>
  <c r="G181" i="1"/>
  <c r="F181" i="1"/>
  <c r="H180" i="1"/>
  <c r="G180" i="1"/>
  <c r="F180" i="1"/>
  <c r="H179" i="1"/>
  <c r="G179" i="1"/>
  <c r="F179" i="1"/>
  <c r="H178" i="1"/>
  <c r="G178" i="1"/>
  <c r="F178" i="1"/>
  <c r="H177" i="1"/>
  <c r="G177" i="1"/>
  <c r="F177" i="1"/>
  <c r="H176" i="1"/>
  <c r="G176" i="1"/>
  <c r="F176" i="1"/>
  <c r="H175" i="1"/>
  <c r="G175" i="1"/>
  <c r="F175" i="1"/>
  <c r="H174" i="1"/>
  <c r="G174" i="1"/>
  <c r="F174" i="1"/>
  <c r="H173" i="1"/>
  <c r="G173" i="1"/>
  <c r="F173" i="1"/>
  <c r="H172" i="1"/>
  <c r="G172" i="1"/>
  <c r="F172" i="1"/>
  <c r="H171" i="1"/>
  <c r="G171" i="1"/>
  <c r="F171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5" i="1"/>
  <c r="G165" i="1"/>
  <c r="F165" i="1"/>
  <c r="H164" i="1"/>
  <c r="G164" i="1"/>
  <c r="F164" i="1"/>
  <c r="H163" i="1"/>
  <c r="G163" i="1"/>
  <c r="F163" i="1"/>
  <c r="H162" i="1"/>
  <c r="G162" i="1"/>
  <c r="F162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H157" i="1"/>
  <c r="G157" i="1"/>
  <c r="F157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6" i="1"/>
  <c r="G66" i="1"/>
  <c r="F66" i="1"/>
  <c r="H65" i="1"/>
  <c r="G65" i="1"/>
  <c r="F65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F213" i="1" s="1"/>
  <c r="G16" i="4" l="1"/>
</calcChain>
</file>

<file path=xl/sharedStrings.xml><?xml version="1.0" encoding="utf-8"?>
<sst xmlns="http://schemas.openxmlformats.org/spreadsheetml/2006/main" count="1456" uniqueCount="448">
  <si>
    <t>SYNTHÈSE GLOBALE - VOLUMES TOUTES CATÉGORIES CONFONDUES</t>
  </si>
  <si>
    <t>Généré le 23/09/2026 - Données réelles 2025 (12 mois) vs 2026 (YTD 9 mois)</t>
  </si>
  <si>
    <t>Code Tiers</t>
  </si>
  <si>
    <t>Nom du Tiers</t>
  </si>
  <si>
    <t>Produits
Concernés</t>
  </si>
  <si>
    <t>Quantité 2025
(12 mois)</t>
  </si>
  <si>
    <t>Quantité 2026
(YTD 9 mois)</t>
  </si>
  <si>
    <t>Total Réalisé
(2025 + 2026)</t>
  </si>
  <si>
    <t>Évolution Absolue
(2026 vs 2025)</t>
  </si>
  <si>
    <t>Taux d'Évolution
(%)</t>
  </si>
  <si>
    <t>19-COD/001</t>
  </si>
  <si>
    <t>SARL EST STAR</t>
  </si>
  <si>
    <t>7 cat.</t>
  </si>
  <si>
    <t>1904</t>
  </si>
  <si>
    <t>AGENT IMP 4 (fouad)</t>
  </si>
  <si>
    <t>1 cat.</t>
  </si>
  <si>
    <t>1903</t>
  </si>
  <si>
    <t>AGENT IMP 3 (billel)</t>
  </si>
  <si>
    <t>16-COD/055DC</t>
  </si>
  <si>
    <t>YOUNSI ABDERRAHMANE</t>
  </si>
  <si>
    <t>11 cat.</t>
  </si>
  <si>
    <t>31-COD/001DC</t>
  </si>
  <si>
    <t>MOUSSAOUI MOKHTAR MADJID OUEST HORIZON</t>
  </si>
  <si>
    <t>2 cat.</t>
  </si>
  <si>
    <t>35-COD/001DCS</t>
  </si>
  <si>
    <t>KASMI AMAR (AHCEN)</t>
  </si>
  <si>
    <t>3 cat.</t>
  </si>
  <si>
    <t>16-COD/001</t>
  </si>
  <si>
    <t>SARL TIME COM</t>
  </si>
  <si>
    <t>1901</t>
  </si>
  <si>
    <t>AGENT IMP 1 F</t>
  </si>
  <si>
    <t>5 cat.</t>
  </si>
  <si>
    <t>31-COD/011DCS</t>
  </si>
  <si>
    <t>MECHTA SALEH</t>
  </si>
  <si>
    <t>15-COD/006</t>
  </si>
  <si>
    <t>MOH TNT</t>
  </si>
  <si>
    <t>15-COD/004DCS</t>
  </si>
  <si>
    <t>MAZARI MOURAD " SNC 3G MAZARI CIE " (KADI ABDELKRIM)</t>
  </si>
  <si>
    <t>1908</t>
  </si>
  <si>
    <t>AGENT STI IMP</t>
  </si>
  <si>
    <t>15-COD/005DCS</t>
  </si>
  <si>
    <t>MEHAMI RACHID TIZI</t>
  </si>
  <si>
    <t>06-COD/013DCS</t>
  </si>
  <si>
    <t>BOUALI DJAMEL</t>
  </si>
  <si>
    <t>3</t>
  </si>
  <si>
    <t>AGENT STI IMP 3 (BASSEM)</t>
  </si>
  <si>
    <t>19-COD/007</t>
  </si>
  <si>
    <t>CHENOUF ADLENE</t>
  </si>
  <si>
    <t>06-COD/004DCS</t>
  </si>
  <si>
    <t>AZIZA ANTAR ( MEZHOUD HALIM )</t>
  </si>
  <si>
    <t>11-COD/001DC</t>
  </si>
  <si>
    <t>BENGAID MOHAMED</t>
  </si>
  <si>
    <t>31-COD/008DCS</t>
  </si>
  <si>
    <t>MEZITI RACHID( MAXVILLE TELECOM )</t>
  </si>
  <si>
    <t>6 cat.</t>
  </si>
  <si>
    <t>27-COD/003DCS</t>
  </si>
  <si>
    <t>KERBICHE MAAMAR ( MAAMAR MOSTA )</t>
  </si>
  <si>
    <t>13-COD/002DCS</t>
  </si>
  <si>
    <t>ALI BELHADJ (ABDELOUAHAB) AYEN FORCE</t>
  </si>
  <si>
    <t>48-COD/010DCS</t>
  </si>
  <si>
    <t>BENAOUDA ABDALLAH</t>
  </si>
  <si>
    <t>16-COD/005DC</t>
  </si>
  <si>
    <t>GACEM ABDELMADJID</t>
  </si>
  <si>
    <t>16-COD/012</t>
  </si>
  <si>
    <t>GNT ALGER</t>
  </si>
  <si>
    <t>09-COD/008DCS</t>
  </si>
  <si>
    <t>OUATASSOU OMAR</t>
  </si>
  <si>
    <t>1907</t>
  </si>
  <si>
    <t>AGENT ANNEXE IMP</t>
  </si>
  <si>
    <t>16-COD/014DCS</t>
  </si>
  <si>
    <t>MAOU RAMZI</t>
  </si>
  <si>
    <t>16-COD/003DCS</t>
  </si>
  <si>
    <t>SLIMANI RAZIK</t>
  </si>
  <si>
    <t>10-COD/001DCS</t>
  </si>
  <si>
    <t>ROUIBI MADJID (R COM)</t>
  </si>
  <si>
    <t>35-COD/006DCS</t>
  </si>
  <si>
    <t>BOURNISSA OUAHAB</t>
  </si>
  <si>
    <t>42-COD/001DCS</t>
  </si>
  <si>
    <t>BOURDJI ABDERAHMANE</t>
  </si>
  <si>
    <t>48-COD/002DC</t>
  </si>
  <si>
    <t>MOHAMED EL AMINE SELMA</t>
  </si>
  <si>
    <t>13-COD/015DCS</t>
  </si>
  <si>
    <t>BENGRINE ALI (ALI TELECOM)</t>
  </si>
  <si>
    <t>09-COD/016</t>
  </si>
  <si>
    <t>LARBI OTHMANE (SET COM)</t>
  </si>
  <si>
    <t>29-COD/001DCS</t>
  </si>
  <si>
    <t>CHADLI CHADLI ( MORDJANE PHONE )</t>
  </si>
  <si>
    <t>15-COD/002DCS</t>
  </si>
  <si>
    <t>HAMIDANI MOHAMED</t>
  </si>
  <si>
    <t>16-COD/044D</t>
  </si>
  <si>
    <t>HADDAK SOFIANE (MAWADA)</t>
  </si>
  <si>
    <t>FETHI ARIBI</t>
  </si>
  <si>
    <t>4</t>
  </si>
  <si>
    <t>AGENT STI IMP 4 (WASSIM)</t>
  </si>
  <si>
    <t>02-COD/003DCS</t>
  </si>
  <si>
    <t>HENNI DOUMA DJILALI (SAMIR PHONE)</t>
  </si>
  <si>
    <t>19-COD/003</t>
  </si>
  <si>
    <t>GNT TELECOM</t>
  </si>
  <si>
    <t>31-COD/013D</t>
  </si>
  <si>
    <t>DEGGAG SALAH EDDINE</t>
  </si>
  <si>
    <t>15-COD/001DCS</t>
  </si>
  <si>
    <t>BAHA SALIM</t>
  </si>
  <si>
    <t>43-COD/002DCS</t>
  </si>
  <si>
    <t>CHIHA RAMDANE (DOMINANT TELECOM)</t>
  </si>
  <si>
    <t>14-COD/001DC</t>
  </si>
  <si>
    <t>ABDELLI BOUABDALLAH DJILALI KADI TIARET</t>
  </si>
  <si>
    <t>31-COD/022DCS</t>
  </si>
  <si>
    <t>OUABDESSELAM NABIL</t>
  </si>
  <si>
    <t>16-COD/008DCS</t>
  </si>
  <si>
    <t>SAHRAOUI ILYES RECHARGE EXPRESS</t>
  </si>
  <si>
    <t>02-COD/002DCS</t>
  </si>
  <si>
    <t>CHORFA ABDELAZIZE</t>
  </si>
  <si>
    <t>16-COD/043DCS</t>
  </si>
  <si>
    <t>BOUZEFFOUR FAYCAL</t>
  </si>
  <si>
    <t>13-COD/012DCS</t>
  </si>
  <si>
    <t>KADRI AHMED( KADRI TELECOM )</t>
  </si>
  <si>
    <t>31-COD/020DCS</t>
  </si>
  <si>
    <t>EL HOUARI LAKEHAL (HOUARI LEGAL) LH TELECOM</t>
  </si>
  <si>
    <t>35-COD/009D</t>
  </si>
  <si>
    <t>HADDADOU MOHAMED</t>
  </si>
  <si>
    <t>44-COD/009DCS</t>
  </si>
  <si>
    <t>HASSANI MOHAMED</t>
  </si>
  <si>
    <t>42-COD/008DCS</t>
  </si>
  <si>
    <t>OMAR HADJI ALI</t>
  </si>
  <si>
    <t>31-COD/003DCS</t>
  </si>
  <si>
    <t>FOUAD HABBAB MAGIC ( OUIS AICHA )</t>
  </si>
  <si>
    <t>09-COD/005D</t>
  </si>
  <si>
    <t>RAHEB HAKIM ( TAREK NET )</t>
  </si>
  <si>
    <t>43-COD/001DCS</t>
  </si>
  <si>
    <t>BENKHELIFA LOTFI</t>
  </si>
  <si>
    <t>35-COD/007</t>
  </si>
  <si>
    <t>BOURCHOUCHE MORAD</t>
  </si>
  <si>
    <t>13-COD/003DCS</t>
  </si>
  <si>
    <t>BERRABAH NASREDDINE GSM</t>
  </si>
  <si>
    <t>31-COD/002</t>
  </si>
  <si>
    <t>TABLOUT KAMEL et ADEL ( GSM TABLOUT )</t>
  </si>
  <si>
    <t>23-COD/003DCS</t>
  </si>
  <si>
    <t>LAARBI MOHAMMED DJAGHAM (PHONY BEST)</t>
  </si>
  <si>
    <t>31-COD/010DCS</t>
  </si>
  <si>
    <t>DAHMANI MAHFOUD MOHAMED AMINE (SARL MISTRAL PHONE)</t>
  </si>
  <si>
    <t>25-COD/002DCS</t>
  </si>
  <si>
    <t>DEBBABI BILLEL (MVIL COM)</t>
  </si>
  <si>
    <t>31-COD/014DCS</t>
  </si>
  <si>
    <t>YAZID MEHOR / YAZID TELECOM ( DAR EL HAYAT )</t>
  </si>
  <si>
    <t>31-COD/009</t>
  </si>
  <si>
    <t>SEDJARARI AMINE ( K STORE )</t>
  </si>
  <si>
    <t>03-COD/001DCS</t>
  </si>
  <si>
    <t>BRINIS WALID</t>
  </si>
  <si>
    <t>46-COD/001DCS</t>
  </si>
  <si>
    <t>MOULAYE ISMAIN ( PLATANE COM ) 'SEKKAT ZAKIA'</t>
  </si>
  <si>
    <t>31-COD/016DCS</t>
  </si>
  <si>
    <t>SAIDI MALIK AMINE</t>
  </si>
  <si>
    <t>15-COD/011DCS</t>
  </si>
  <si>
    <t>HAMIDANI SOFIANE</t>
  </si>
  <si>
    <t>42-COD/003DCS</t>
  </si>
  <si>
    <t>BOUHADDA SALAH /ISLEM</t>
  </si>
  <si>
    <t>02-COD/001DCS</t>
  </si>
  <si>
    <t>DJARER FATMA</t>
  </si>
  <si>
    <t>06-COD/002D</t>
  </si>
  <si>
    <t>MELLATA SAID /HINI DRIS / DRIS MADALA</t>
  </si>
  <si>
    <t>13-COD/024DCS</t>
  </si>
  <si>
    <t>GHERMI ABDESSAMED</t>
  </si>
  <si>
    <t>15-COD/003DC</t>
  </si>
  <si>
    <t>ETS BAHA KAMAL</t>
  </si>
  <si>
    <t>31-COD/017DCS</t>
  </si>
  <si>
    <t>BENAZIZA HOUCINE</t>
  </si>
  <si>
    <t>29-COD/005DCS</t>
  </si>
  <si>
    <t>HARIR AHMED (HARIR TELECOM)</t>
  </si>
  <si>
    <t>22-COD/001DCS</t>
  </si>
  <si>
    <t>BENYAHIA MOHAMED ( CONNEXION)</t>
  </si>
  <si>
    <t>30-COD/001DCS</t>
  </si>
  <si>
    <t>MAHFOUD ABDENOUR (GSM MAHFOUD)</t>
  </si>
  <si>
    <t>44-COD/005DCS</t>
  </si>
  <si>
    <t>GSM BRADA NOUREDDINE</t>
  </si>
  <si>
    <t>22-COD/004DCS</t>
  </si>
  <si>
    <t>MOURI SOFIANE / TITOU SBA ( BRAHIM GERANT )</t>
  </si>
  <si>
    <t>11-COD/003D</t>
  </si>
  <si>
    <t>MERDAS CHOUAIB (GSM MERDAS)</t>
  </si>
  <si>
    <t>31-COD/015DCS</t>
  </si>
  <si>
    <t>DJAMEL BESSAM</t>
  </si>
  <si>
    <t>31-COD/019DCS</t>
  </si>
  <si>
    <t>BOUDJELA DJILLALI</t>
  </si>
  <si>
    <t>13-COD/007DCS</t>
  </si>
  <si>
    <t>BAROUDI DJILALI PHONE GSM</t>
  </si>
  <si>
    <t>23-COD/004DCS</t>
  </si>
  <si>
    <t>HARZALLAH ADEL (SAIF)</t>
  </si>
  <si>
    <t>13-COD/008DCS</t>
  </si>
  <si>
    <t>BAROUDI MOHAMMED (MOBILIKE)</t>
  </si>
  <si>
    <t>16-COD/013DCS</t>
  </si>
  <si>
    <t>KHEBOUCHE TOUFIK</t>
  </si>
  <si>
    <t>4 cat.</t>
  </si>
  <si>
    <t>09-COD/004DCS</t>
  </si>
  <si>
    <t>TOUBAL RACHID ( ORG PHONE )</t>
  </si>
  <si>
    <t>25-COD/001DCS</t>
  </si>
  <si>
    <t>ZERTAL DJAFAR SAMIR</t>
  </si>
  <si>
    <t>13-COD/017DCS</t>
  </si>
  <si>
    <t>BOUCHAM MOHAMMED</t>
  </si>
  <si>
    <t>11-COD/006D</t>
  </si>
  <si>
    <t>KESSI MOHAMED</t>
  </si>
  <si>
    <t>09-COD/012DC</t>
  </si>
  <si>
    <t>ABDESAMI ZERKOUK</t>
  </si>
  <si>
    <t>1919</t>
  </si>
  <si>
    <t>CHALLENGE STI</t>
  </si>
  <si>
    <t>13-COD/019DCS</t>
  </si>
  <si>
    <t>YAHLALI HOUARI TLEMCEN (YH PHONE)</t>
  </si>
  <si>
    <t>31-COD/023DC</t>
  </si>
  <si>
    <t>CHERIGUI MORAD</t>
  </si>
  <si>
    <t>31-COD/004DCS</t>
  </si>
  <si>
    <t>GHALEM BENACHET (KOSSAY GSM)</t>
  </si>
  <si>
    <t>13-COD/010DCS</t>
  </si>
  <si>
    <t>BENTABET YASSINE</t>
  </si>
  <si>
    <t>18-COD/006DCS</t>
  </si>
  <si>
    <t>BOUKEZATA ABDELOUAHAB HAMA PHONE</t>
  </si>
  <si>
    <t>44-COD/001DCS</t>
  </si>
  <si>
    <t>DAHMANE AHMED</t>
  </si>
  <si>
    <t>06-COD/011DCS</t>
  </si>
  <si>
    <t>OUBELAID ABDESLAM</t>
  </si>
  <si>
    <t>02-COD/008DCS</t>
  </si>
  <si>
    <t>RABAH ZAKARYA ( HAMZA . RABAH PHONE)</t>
  </si>
  <si>
    <t>14-COD/007DCS</t>
  </si>
  <si>
    <t>ZEKKAR SID AHMED ( ZAKARIA )</t>
  </si>
  <si>
    <t>15-COD/007DCS</t>
  </si>
  <si>
    <t>GSM MAHOUEL KAMAL</t>
  </si>
  <si>
    <t>44-COD/006DCS</t>
  </si>
  <si>
    <t>CHAACHOU AZEDINE</t>
  </si>
  <si>
    <t>46-COD/003DCS</t>
  </si>
  <si>
    <t>LAHOUEL AHMED</t>
  </si>
  <si>
    <t>02-COD/004</t>
  </si>
  <si>
    <t>MOHAMED MOBILE TELECOM "MESSAR "</t>
  </si>
  <si>
    <t>16-COD/016DCS</t>
  </si>
  <si>
    <t>BOUCHENINE MOULOUD (MOHAMED)</t>
  </si>
  <si>
    <t>15-COD/010DCS</t>
  </si>
  <si>
    <t>HAMIDANI NASSIM TELECOM</t>
  </si>
  <si>
    <t>22-COD/005DCS</t>
  </si>
  <si>
    <t>DERGHAM FOUAD (DERGHAM PHONE )</t>
  </si>
  <si>
    <t>15-COD/016</t>
  </si>
  <si>
    <t>AMIRI NADIR</t>
  </si>
  <si>
    <t>44-COD/011DCS</t>
  </si>
  <si>
    <t>DJELLOUL KOUADRI HAMAD</t>
  </si>
  <si>
    <t>30-COD/002DCS</t>
  </si>
  <si>
    <t>BENARIMA ABDESSAMIA</t>
  </si>
  <si>
    <t>16-COD/069DCS</t>
  </si>
  <si>
    <t>BOUZGHAIA SALAHEDDINE</t>
  </si>
  <si>
    <t>19-COD/050DCS</t>
  </si>
  <si>
    <t>LITIM RACHID</t>
  </si>
  <si>
    <t>44-COD/015DCS</t>
  </si>
  <si>
    <t>MEKHELDI ABDALLAH (ABDELHAK)</t>
  </si>
  <si>
    <t>31-COD/024DCS</t>
  </si>
  <si>
    <t>HADDADOU OUALI (DJOUDI PHONE)</t>
  </si>
  <si>
    <t>11-COD/016D</t>
  </si>
  <si>
    <t>MEDAKENE CHIKH</t>
  </si>
  <si>
    <t>42-COD/009DCS</t>
  </si>
  <si>
    <t>SRAIRI RAZIK</t>
  </si>
  <si>
    <t>13-COD/005DCS</t>
  </si>
  <si>
    <t>KERZABI KAMEL SABER</t>
  </si>
  <si>
    <t>13-COD/020DCS</t>
  </si>
  <si>
    <t>HATTAB MOHAMED</t>
  </si>
  <si>
    <t>14-COD/005DCS</t>
  </si>
  <si>
    <t>KHALFALLAOUI HAKIM TELECOM</t>
  </si>
  <si>
    <t>09-COD/015DCS</t>
  </si>
  <si>
    <t>ABBOU BILEL-MEHDI (EURO PHONE)</t>
  </si>
  <si>
    <t>31-COD/012D</t>
  </si>
  <si>
    <t>GRIB YACINE TELECOM</t>
  </si>
  <si>
    <t>06-COD/003DCS</t>
  </si>
  <si>
    <t>AMRANE FARID</t>
  </si>
  <si>
    <t>31-COD/006DCS</t>
  </si>
  <si>
    <t>NEKROUF DJAMEL 4 FORCES</t>
  </si>
  <si>
    <t>29-COD/002DCS</t>
  </si>
  <si>
    <t>BENAOUM ABDERRAHIM</t>
  </si>
  <si>
    <t>29-COD/006DCS</t>
  </si>
  <si>
    <t>GSM BERDAL SAMIST ( KADDOUR MOHAMED )</t>
  </si>
  <si>
    <t>31-COD/007DR</t>
  </si>
  <si>
    <t>SALIM CHOUIKRAT (GSM CHOUIKRAT)</t>
  </si>
  <si>
    <t>34-COD/001DCS</t>
  </si>
  <si>
    <t>KHOUNTACHE MOUSSA</t>
  </si>
  <si>
    <t>8 cat.</t>
  </si>
  <si>
    <t>16-COD/025DCS</t>
  </si>
  <si>
    <t>DENNI ABDELKADER</t>
  </si>
  <si>
    <t>15-COD/017D</t>
  </si>
  <si>
    <t>SEMSAR ABDERRAHMANE (PROCAM TECHNOLOGIE)</t>
  </si>
  <si>
    <t>09-COD/027D</t>
  </si>
  <si>
    <t>MAHIEDDINE FAYCAL</t>
  </si>
  <si>
    <t>09-COD/020DCS</t>
  </si>
  <si>
    <t>CHERRATI REDHOUANE</t>
  </si>
  <si>
    <t>21-COD/005DCS</t>
  </si>
  <si>
    <t>ZAKAD HICHEM</t>
  </si>
  <si>
    <t>16-COD/051DC</t>
  </si>
  <si>
    <t>SEDDIK HAMZA</t>
  </si>
  <si>
    <t>02-COD/010DCS</t>
  </si>
  <si>
    <t>ZERROUKI BILAL</t>
  </si>
  <si>
    <t>16-COD/054DCS</t>
  </si>
  <si>
    <t>OUARET MOHAMED (SMART PHONE ROUIBA)</t>
  </si>
  <si>
    <t>06-COD/007D</t>
  </si>
  <si>
    <t>IDIRI BOUZID</t>
  </si>
  <si>
    <t>06-COD/024DCS</t>
  </si>
  <si>
    <t>BOUDRAHEM HAKIM</t>
  </si>
  <si>
    <t>42-COD/010DCS</t>
  </si>
  <si>
    <t>MAIDI ALI (MAIDI PHONE)</t>
  </si>
  <si>
    <t>46-COD/006DCS</t>
  </si>
  <si>
    <t>LOUAZANI BOUALEM</t>
  </si>
  <si>
    <t>18-COD/001DCS</t>
  </si>
  <si>
    <t>KOUICEM ABDELMADJID</t>
  </si>
  <si>
    <t>13-COD/006DCS</t>
  </si>
  <si>
    <t>BAROUDI ISMAIL TAIBI MORTADA PHONE (MORDJAN TELECOM )</t>
  </si>
  <si>
    <t>29-COD/004DCS</t>
  </si>
  <si>
    <t>MERAH DJILALI (MERAH TELECOM)</t>
  </si>
  <si>
    <t>16-COD/072DCS</t>
  </si>
  <si>
    <t>BAYOU MOHAMED</t>
  </si>
  <si>
    <t>30-COD/009DCS</t>
  </si>
  <si>
    <t>BEDJA MOHAMED LAID ALAA TELECOM</t>
  </si>
  <si>
    <t>14-COD/002DCS</t>
  </si>
  <si>
    <t>SASSI RABAH</t>
  </si>
  <si>
    <t>16-COD/066</t>
  </si>
  <si>
    <t>BAGAA OUALID</t>
  </si>
  <si>
    <t>16-COD/035DCS</t>
  </si>
  <si>
    <t>MAALEM ABBES (KARIM OUARET 2 / AL SALAM TELECOM)</t>
  </si>
  <si>
    <t>09-COD/029D</t>
  </si>
  <si>
    <t>BOUMERZOUG YACINE</t>
  </si>
  <si>
    <t>29-COD/003DCS</t>
  </si>
  <si>
    <t>ARAR HAMZA</t>
  </si>
  <si>
    <t>16-COD/030DCS</t>
  </si>
  <si>
    <t>FERHAT IKHLEFHOUM (FERHAT GSM PRO)</t>
  </si>
  <si>
    <t>47-COD/006DCS</t>
  </si>
  <si>
    <t>BENSALAH HAMZA</t>
  </si>
  <si>
    <t>25-COD/021DCS</t>
  </si>
  <si>
    <t>AFIF CHABANE</t>
  </si>
  <si>
    <t>24-COD/001DCS</t>
  </si>
  <si>
    <t>KOUARTA TAREK (TAREK PHONE)</t>
  </si>
  <si>
    <t>25-COD/028DC</t>
  </si>
  <si>
    <t>DJEBLIA MOHAMED (NOUR PHONE)</t>
  </si>
  <si>
    <t>47-COD/004DCS</t>
  </si>
  <si>
    <t>KRAOUA SAID ABDALLAH</t>
  </si>
  <si>
    <t>20-COD/005DC</t>
  </si>
  <si>
    <t>AMARI BENAOUMEUR ( AMARI PHONE )</t>
  </si>
  <si>
    <t>16-COD/070D</t>
  </si>
  <si>
    <t>GUERFI SIF EDDINE (KASMIA)</t>
  </si>
  <si>
    <t>27-COD/004DCS</t>
  </si>
  <si>
    <t>GHALI CHACHOU</t>
  </si>
  <si>
    <t>16-COD/015DCS</t>
  </si>
  <si>
    <t>TENNOUN KAMEL</t>
  </si>
  <si>
    <t>16-COD/057DCS</t>
  </si>
  <si>
    <t>OUARET RAOUF</t>
  </si>
  <si>
    <t>15-COD/019D</t>
  </si>
  <si>
    <t>ELHADDAD AREZKI (DA AREZKI)</t>
  </si>
  <si>
    <t>05-COD/007DCS</t>
  </si>
  <si>
    <t>CHEURFA MOUSSA</t>
  </si>
  <si>
    <t>04-COD/003DCS</t>
  </si>
  <si>
    <t>BENABOUD HANAFI</t>
  </si>
  <si>
    <t>47-COD/002DCS</t>
  </si>
  <si>
    <t>NEFAA ILYES VISION TECHNOLOGIE</t>
  </si>
  <si>
    <t>20-COD/003</t>
  </si>
  <si>
    <t>SARIA MOHAMED IYED PHONE</t>
  </si>
  <si>
    <t>44-COD/003DCS</t>
  </si>
  <si>
    <t>MECHAI MOHAMMED</t>
  </si>
  <si>
    <t>16-COD/074</t>
  </si>
  <si>
    <t>CHERIF</t>
  </si>
  <si>
    <t>13-COD/001</t>
  </si>
  <si>
    <t>DJOURLEF</t>
  </si>
  <si>
    <t>26-COD/010DCS</t>
  </si>
  <si>
    <t>LAROUCI DILMI ALI ( ABDERZAK AWAW )</t>
  </si>
  <si>
    <t>13-COD/014</t>
  </si>
  <si>
    <t>GSM ZEROUKI</t>
  </si>
  <si>
    <t>19-COD/026DCS</t>
  </si>
  <si>
    <t>DJOUDI FARES</t>
  </si>
  <si>
    <t>04-COD/001DCS</t>
  </si>
  <si>
    <t>DRIS ABDELKADER " MASTER TECH "</t>
  </si>
  <si>
    <t>22-COD/006DCS</t>
  </si>
  <si>
    <t>BENDIDOU HABIB</t>
  </si>
  <si>
    <t>29-COD/007DCS</t>
  </si>
  <si>
    <t>BENZINA DJILALI</t>
  </si>
  <si>
    <t>19-COD/047</t>
  </si>
  <si>
    <t>SARL STM</t>
  </si>
  <si>
    <t>25-COD/027</t>
  </si>
  <si>
    <t>FAROUK DZAIR ONE</t>
  </si>
  <si>
    <t>06-COD/018DCS</t>
  </si>
  <si>
    <t>DAFLAOUI ALLAOUA (SASSI PHONE)</t>
  </si>
  <si>
    <t>41-COD/007</t>
  </si>
  <si>
    <t>HAFSI TAYAB</t>
  </si>
  <si>
    <t>24-COD/010D</t>
  </si>
  <si>
    <t>BENZITOUNI YAKOUB</t>
  </si>
  <si>
    <t>17-COD/005DCS</t>
  </si>
  <si>
    <t>MESSELMI ABDELKADER MUSTAPHA "2MD TELECOM"</t>
  </si>
  <si>
    <t>13-COD/022DCS</t>
  </si>
  <si>
    <t>REFOUFI ADNANE (LE MONDE TELECOM)</t>
  </si>
  <si>
    <t>16-COD/028</t>
  </si>
  <si>
    <t>DRAIS NABIL (SEND PHONE -BERGHEUL DJAMEL)</t>
  </si>
  <si>
    <t>30-COD/008DCS</t>
  </si>
  <si>
    <t>SAIDAT SOFIANE</t>
  </si>
  <si>
    <t>16-COD/077</t>
  </si>
  <si>
    <t>KAMEL ZERBOUT</t>
  </si>
  <si>
    <t>46-COD/004DCS</t>
  </si>
  <si>
    <t>BENNAT SOFIANE (ADEL PHONE)</t>
  </si>
  <si>
    <t>02-COD/014DCS</t>
  </si>
  <si>
    <t>MELLOUK ADEL</t>
  </si>
  <si>
    <t>35-COD/015DCS</t>
  </si>
  <si>
    <t>KEDDAM ZOUBIR (FATEH PHONE)</t>
  </si>
  <si>
    <t>46-COD/007DCS</t>
  </si>
  <si>
    <t>BOUROUISS SAMIRA</t>
  </si>
  <si>
    <t>36-COD/003D</t>
  </si>
  <si>
    <t>BERRAR ABDERAHMENE (SPARK TOP-UP)</t>
  </si>
  <si>
    <t>30-COD/030D</t>
  </si>
  <si>
    <t>GADRI MOHAMMED MABROUK</t>
  </si>
  <si>
    <t>19-COD/015DCS</t>
  </si>
  <si>
    <t>LOUKIA KATB EDDINE (FERHAT)</t>
  </si>
  <si>
    <t>2</t>
  </si>
  <si>
    <t>CLIENT RECLAMATION DEFECT</t>
  </si>
  <si>
    <t>48-COD/003DCS</t>
  </si>
  <si>
    <t>CHEKCHAK MOHAMED</t>
  </si>
  <si>
    <t>16-COD/029DCS</t>
  </si>
  <si>
    <t>KHELIL ABDELMALEK (MALEK PHONE)</t>
  </si>
  <si>
    <t>46-COD/005DCS</t>
  </si>
  <si>
    <t>DIFLI SIDI MOHAMED LAKHDAR</t>
  </si>
  <si>
    <t>09-COD/009DCS</t>
  </si>
  <si>
    <t>BOUALLAGA BRAHIM</t>
  </si>
  <si>
    <t>47-COD/008DCS</t>
  </si>
  <si>
    <t>BABOUHOUN SAID (LHADJ SLIMANE)</t>
  </si>
  <si>
    <t>39-COD/002DCS</t>
  </si>
  <si>
    <t>GHOUMA RIADH</t>
  </si>
  <si>
    <t>27-COD/001DC</t>
  </si>
  <si>
    <t>KASMI ALI (UNIVERSEL MOBILE)</t>
  </si>
  <si>
    <t>16-COD/083D</t>
  </si>
  <si>
    <t>KDIB YOUCEF ADEL</t>
  </si>
  <si>
    <t>1</t>
  </si>
  <si>
    <t>AHMED MEBROUKI</t>
  </si>
  <si>
    <t>06-COD/023</t>
  </si>
  <si>
    <t>DYLA PHONE</t>
  </si>
  <si>
    <t>26-COD/014DCS</t>
  </si>
  <si>
    <t>HADJERI YOUCEF</t>
  </si>
  <si>
    <t>25-COD/003DCS</t>
  </si>
  <si>
    <t>GSM MOUSSA ABDELGHANI ( ITALIA PHONE )</t>
  </si>
  <si>
    <t>16-COD/027DCS</t>
  </si>
  <si>
    <t>LAROUCI AHMED</t>
  </si>
  <si>
    <t>LARIBI AMAR</t>
  </si>
  <si>
    <t>TOTAL GENERAL</t>
  </si>
  <si>
    <t>VOLUMES RÉALISÉS PAR TIERS - 100 IMP</t>
  </si>
  <si>
    <t>VOLUMES RÉALISÉS PAR TIERS - 100 IZI</t>
  </si>
  <si>
    <t>VOLUMES RÉALISÉS PAR TIERS - 200 STAT</t>
  </si>
  <si>
    <t>VOLUMES RÉALISÉS PAR TIERS - 500 STAT</t>
  </si>
  <si>
    <t>VOLUMES RÉALISÉS PAR TIERS - 1000 STAT</t>
  </si>
  <si>
    <t>VOLUMES RÉALISÉS PAR TIERS - 200 IMP</t>
  </si>
  <si>
    <t>VOLUMES RÉALISÉS PAR TIERS - 500 IMP</t>
  </si>
  <si>
    <t>VOLUMES RÉALISÉS PAR TIERS - 1000 IMP</t>
  </si>
  <si>
    <t>VOLUMES RÉALISÉS PAR TIERS - 2000 STAT</t>
  </si>
  <si>
    <t>VOLUMES RÉALISÉS PAR TIERS - 1500 STAT</t>
  </si>
  <si>
    <t>VOLUMES RÉALISÉS PAR TIERS - 1500 IMP</t>
  </si>
  <si>
    <t>VOLUMES RÉALISÉS PAR TIERS - 2000 IMP</t>
  </si>
  <si>
    <t>VOLUMES RÉALISÉS PAR TIERS - 1200  STAT</t>
  </si>
  <si>
    <t>VOLUMES RÉALISÉS PAR TIERS - 3500 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</si>
</sst>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;\-#,##0;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1E3A8A"/>
      <name val="Segoe UI"/>
    </font>
    <font>
      <i/>
      <sz val="10"/>
      <color rgb="FF64748B"/>
      <name val="Segoe UI"/>
    </font>
    <font>
      <b/>
      <sz val="11"/>
      <color rgb="FFFFFFFF"/>
      <name val="Segoe UI"/>
    </font>
    <font>
      <sz val="10"/>
      <color rgb="FF0F172A"/>
      <name val="Segoe UI"/>
    </font>
    <font>
      <b/>
      <sz val="11"/>
      <color rgb="FF1E293B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double">
        <color rgb="FF1E3A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left" vertical="center"/>
    </xf>
    <xf numFmtId="3" fontId="5" fillId="5" borderId="2" xfId="0" applyNumberFormat="1" applyFont="1" applyFill="1" applyBorder="1" applyAlignment="1">
      <alignment horizontal="right" vertical="center"/>
    </xf>
    <xf numFmtId="164" fontId="5" fillId="5" borderId="2" xfId="0" applyNumberFormat="1" applyFont="1" applyFill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B12" sqref="B12"/>
    </sheetView>
  </sheetViews>
  <sheetFormatPr baseColWidth="10" defaultColWidth="9.140625" defaultRowHeight="15" x14ac:dyDescent="0.25"/>
  <cols>
    <col min="1" max="1" width="16" customWidth="1"/>
    <col min="2" max="2" width="57" customWidth="1"/>
    <col min="3" max="3" width="13" customWidth="1"/>
    <col min="4" max="6" width="17" customWidth="1"/>
    <col min="7" max="7" width="21" customWidth="1"/>
    <col min="8" max="8" width="20" customWidth="1"/>
  </cols>
  <sheetData>
    <row r="1" spans="1:8" ht="27.95" customHeight="1" x14ac:dyDescent="0.25">
      <c r="A1" s="19" t="s">
        <v>0</v>
      </c>
      <c r="B1" s="18"/>
      <c r="C1" s="18"/>
      <c r="D1" s="18"/>
      <c r="E1" s="18"/>
      <c r="F1" s="18"/>
      <c r="G1" s="18"/>
      <c r="H1" s="18"/>
    </row>
    <row r="2" spans="1:8" ht="18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</row>
    <row r="3" spans="1:8" ht="9.9499999999999993" customHeight="1" x14ac:dyDescent="0.25"/>
    <row r="4" spans="1:8" ht="36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0.100000000000001" customHeight="1" x14ac:dyDescent="0.25">
      <c r="A5" s="2" t="s">
        <v>10</v>
      </c>
      <c r="B5" s="3" t="s">
        <v>11</v>
      </c>
      <c r="C5" s="2" t="s">
        <v>12</v>
      </c>
      <c r="D5" s="4">
        <v>5729760</v>
      </c>
      <c r="E5" s="4">
        <v>3208000</v>
      </c>
      <c r="F5" s="4">
        <f t="shared" ref="F5:F68" si="0">D5+E5</f>
        <v>8937760</v>
      </c>
      <c r="G5" s="5">
        <f t="shared" ref="G5:G68" si="1">E5-D5</f>
        <v>-2521760</v>
      </c>
      <c r="H5" s="6">
        <f t="shared" ref="H5:H68" si="2">IF(D5&gt;0, (E5-D5)/D5, "")</f>
        <v>-0.4401161654240317</v>
      </c>
    </row>
    <row r="6" spans="1:8" ht="20.100000000000001" customHeight="1" x14ac:dyDescent="0.25">
      <c r="A6" s="7" t="s">
        <v>13</v>
      </c>
      <c r="B6" s="8" t="s">
        <v>14</v>
      </c>
      <c r="C6" s="7" t="s">
        <v>15</v>
      </c>
      <c r="D6" s="9">
        <v>3642051</v>
      </c>
      <c r="E6" s="9">
        <v>3740000</v>
      </c>
      <c r="F6" s="9">
        <f t="shared" si="0"/>
        <v>7382051</v>
      </c>
      <c r="G6" s="10">
        <f t="shared" si="1"/>
        <v>97949</v>
      </c>
      <c r="H6" s="11">
        <f t="shared" si="2"/>
        <v>2.6893912248894921E-2</v>
      </c>
    </row>
    <row r="7" spans="1:8" ht="20.100000000000001" customHeight="1" x14ac:dyDescent="0.25">
      <c r="A7" s="2" t="s">
        <v>16</v>
      </c>
      <c r="B7" s="3" t="s">
        <v>17</v>
      </c>
      <c r="C7" s="2" t="s">
        <v>15</v>
      </c>
      <c r="D7" s="4">
        <v>3658000</v>
      </c>
      <c r="E7" s="4">
        <v>3248500</v>
      </c>
      <c r="F7" s="4">
        <f t="shared" si="0"/>
        <v>6906500</v>
      </c>
      <c r="G7" s="5">
        <f t="shared" si="1"/>
        <v>-409500</v>
      </c>
      <c r="H7" s="6">
        <f t="shared" si="2"/>
        <v>-0.11194641880809185</v>
      </c>
    </row>
    <row r="8" spans="1:8" ht="20.100000000000001" customHeight="1" x14ac:dyDescent="0.25">
      <c r="A8" s="7" t="s">
        <v>18</v>
      </c>
      <c r="B8" s="8" t="s">
        <v>19</v>
      </c>
      <c r="C8" s="7" t="s">
        <v>20</v>
      </c>
      <c r="D8" s="9">
        <v>1655464</v>
      </c>
      <c r="E8" s="9">
        <v>1675330</v>
      </c>
      <c r="F8" s="9">
        <f t="shared" si="0"/>
        <v>3330794</v>
      </c>
      <c r="G8" s="10">
        <f t="shared" si="1"/>
        <v>19866</v>
      </c>
      <c r="H8" s="11">
        <f t="shared" si="2"/>
        <v>1.2000260954028598E-2</v>
      </c>
    </row>
    <row r="9" spans="1:8" ht="20.100000000000001" customHeight="1" x14ac:dyDescent="0.25">
      <c r="A9" s="2" t="s">
        <v>21</v>
      </c>
      <c r="B9" s="3" t="s">
        <v>22</v>
      </c>
      <c r="C9" s="2" t="s">
        <v>23</v>
      </c>
      <c r="D9" s="4">
        <v>822000</v>
      </c>
      <c r="E9" s="4">
        <v>1200626</v>
      </c>
      <c r="F9" s="4">
        <f t="shared" si="0"/>
        <v>2022626</v>
      </c>
      <c r="G9" s="5">
        <f t="shared" si="1"/>
        <v>378626</v>
      </c>
      <c r="H9" s="6">
        <f t="shared" si="2"/>
        <v>0.4606155717761557</v>
      </c>
    </row>
    <row r="10" spans="1:8" ht="20.100000000000001" customHeight="1" x14ac:dyDescent="0.25">
      <c r="A10" s="7" t="s">
        <v>24</v>
      </c>
      <c r="B10" s="8" t="s">
        <v>25</v>
      </c>
      <c r="C10" s="7" t="s">
        <v>26</v>
      </c>
      <c r="D10" s="9">
        <v>493600</v>
      </c>
      <c r="E10" s="9">
        <v>610700</v>
      </c>
      <c r="F10" s="9">
        <f t="shared" si="0"/>
        <v>1104300</v>
      </c>
      <c r="G10" s="10">
        <f t="shared" si="1"/>
        <v>117100</v>
      </c>
      <c r="H10" s="11">
        <f t="shared" si="2"/>
        <v>0.23723662884927066</v>
      </c>
    </row>
    <row r="11" spans="1:8" ht="20.100000000000001" customHeight="1" x14ac:dyDescent="0.25">
      <c r="A11" s="2" t="s">
        <v>27</v>
      </c>
      <c r="B11" s="3" t="s">
        <v>28</v>
      </c>
      <c r="C11" s="2" t="s">
        <v>15</v>
      </c>
      <c r="D11" s="4">
        <v>760000</v>
      </c>
      <c r="E11" s="4">
        <v>0</v>
      </c>
      <c r="F11" s="4">
        <f t="shared" si="0"/>
        <v>760000</v>
      </c>
      <c r="G11" s="5">
        <f t="shared" si="1"/>
        <v>-760000</v>
      </c>
      <c r="H11" s="6">
        <f t="shared" si="2"/>
        <v>-1</v>
      </c>
    </row>
    <row r="12" spans="1:8" ht="20.100000000000001" customHeight="1" x14ac:dyDescent="0.25">
      <c r="A12" s="7" t="s">
        <v>29</v>
      </c>
      <c r="B12" s="8" t="s">
        <v>30</v>
      </c>
      <c r="C12" s="7" t="s">
        <v>31</v>
      </c>
      <c r="D12" s="9">
        <v>431759</v>
      </c>
      <c r="E12" s="9">
        <v>44376</v>
      </c>
      <c r="F12" s="9">
        <f t="shared" si="0"/>
        <v>476135</v>
      </c>
      <c r="G12" s="10">
        <f t="shared" si="1"/>
        <v>-387383</v>
      </c>
      <c r="H12" s="11">
        <f t="shared" si="2"/>
        <v>-0.8972204401066336</v>
      </c>
    </row>
    <row r="13" spans="1:8" ht="20.100000000000001" customHeight="1" x14ac:dyDescent="0.25">
      <c r="A13" s="2" t="s">
        <v>32</v>
      </c>
      <c r="B13" s="3" t="s">
        <v>33</v>
      </c>
      <c r="C13" s="2" t="s">
        <v>23</v>
      </c>
      <c r="D13" s="4">
        <v>25000</v>
      </c>
      <c r="E13" s="4">
        <v>433106</v>
      </c>
      <c r="F13" s="4">
        <f t="shared" si="0"/>
        <v>458106</v>
      </c>
      <c r="G13" s="5">
        <f t="shared" si="1"/>
        <v>408106</v>
      </c>
      <c r="H13" s="6">
        <f t="shared" si="2"/>
        <v>16.32424</v>
      </c>
    </row>
    <row r="14" spans="1:8" ht="20.100000000000001" customHeight="1" x14ac:dyDescent="0.25">
      <c r="A14" s="7" t="s">
        <v>34</v>
      </c>
      <c r="B14" s="8" t="s">
        <v>35</v>
      </c>
      <c r="C14" s="7" t="s">
        <v>23</v>
      </c>
      <c r="D14" s="9">
        <v>108000</v>
      </c>
      <c r="E14" s="9">
        <v>197000</v>
      </c>
      <c r="F14" s="9">
        <f t="shared" si="0"/>
        <v>305000</v>
      </c>
      <c r="G14" s="10">
        <f t="shared" si="1"/>
        <v>89000</v>
      </c>
      <c r="H14" s="11">
        <f t="shared" si="2"/>
        <v>0.82407407407407407</v>
      </c>
    </row>
    <row r="15" spans="1:8" ht="20.100000000000001" customHeight="1" x14ac:dyDescent="0.25">
      <c r="A15" s="2" t="s">
        <v>36</v>
      </c>
      <c r="B15" s="3" t="s">
        <v>37</v>
      </c>
      <c r="C15" s="2" t="s">
        <v>23</v>
      </c>
      <c r="D15" s="4">
        <v>220690</v>
      </c>
      <c r="E15" s="4">
        <v>69000</v>
      </c>
      <c r="F15" s="4">
        <f t="shared" si="0"/>
        <v>289690</v>
      </c>
      <c r="G15" s="5">
        <f t="shared" si="1"/>
        <v>-151690</v>
      </c>
      <c r="H15" s="6">
        <f t="shared" si="2"/>
        <v>-0.68734423852462734</v>
      </c>
    </row>
    <row r="16" spans="1:8" ht="20.100000000000001" customHeight="1" x14ac:dyDescent="0.25">
      <c r="A16" s="7" t="s">
        <v>38</v>
      </c>
      <c r="B16" s="8" t="s">
        <v>39</v>
      </c>
      <c r="C16" s="7" t="s">
        <v>15</v>
      </c>
      <c r="D16" s="9">
        <v>0</v>
      </c>
      <c r="E16" s="9">
        <v>243000</v>
      </c>
      <c r="F16" s="9">
        <f t="shared" si="0"/>
        <v>243000</v>
      </c>
      <c r="G16" s="10">
        <f t="shared" si="1"/>
        <v>243000</v>
      </c>
      <c r="H16" s="11" t="str">
        <f t="shared" si="2"/>
        <v/>
      </c>
    </row>
    <row r="17" spans="1:8" ht="20.100000000000001" customHeight="1" x14ac:dyDescent="0.25">
      <c r="A17" s="2" t="s">
        <v>40</v>
      </c>
      <c r="B17" s="3" t="s">
        <v>41</v>
      </c>
      <c r="C17" s="2" t="s">
        <v>12</v>
      </c>
      <c r="D17" s="4">
        <v>121750</v>
      </c>
      <c r="E17" s="4">
        <v>101620</v>
      </c>
      <c r="F17" s="4">
        <f t="shared" si="0"/>
        <v>223370</v>
      </c>
      <c r="G17" s="5">
        <f t="shared" si="1"/>
        <v>-20130</v>
      </c>
      <c r="H17" s="6">
        <f t="shared" si="2"/>
        <v>-0.16533880903490761</v>
      </c>
    </row>
    <row r="18" spans="1:8" ht="20.100000000000001" customHeight="1" x14ac:dyDescent="0.25">
      <c r="A18" s="7" t="s">
        <v>42</v>
      </c>
      <c r="B18" s="8" t="s">
        <v>43</v>
      </c>
      <c r="C18" s="7" t="s">
        <v>15</v>
      </c>
      <c r="D18" s="9">
        <v>50000</v>
      </c>
      <c r="E18" s="9">
        <v>170000</v>
      </c>
      <c r="F18" s="9">
        <f t="shared" si="0"/>
        <v>220000</v>
      </c>
      <c r="G18" s="10">
        <f t="shared" si="1"/>
        <v>120000</v>
      </c>
      <c r="H18" s="11">
        <f t="shared" si="2"/>
        <v>2.4</v>
      </c>
    </row>
    <row r="19" spans="1:8" ht="20.100000000000001" customHeight="1" x14ac:dyDescent="0.25">
      <c r="A19" s="2" t="s">
        <v>44</v>
      </c>
      <c r="B19" s="3" t="s">
        <v>45</v>
      </c>
      <c r="C19" s="2" t="s">
        <v>15</v>
      </c>
      <c r="D19" s="4">
        <v>0</v>
      </c>
      <c r="E19" s="4">
        <v>158000</v>
      </c>
      <c r="F19" s="4">
        <f t="shared" si="0"/>
        <v>158000</v>
      </c>
      <c r="G19" s="5">
        <f t="shared" si="1"/>
        <v>158000</v>
      </c>
      <c r="H19" s="6" t="str">
        <f t="shared" si="2"/>
        <v/>
      </c>
    </row>
    <row r="20" spans="1:8" ht="20.100000000000001" customHeight="1" x14ac:dyDescent="0.25">
      <c r="A20" s="7" t="s">
        <v>46</v>
      </c>
      <c r="B20" s="8" t="s">
        <v>47</v>
      </c>
      <c r="C20" s="7" t="s">
        <v>15</v>
      </c>
      <c r="D20" s="9">
        <v>150000</v>
      </c>
      <c r="E20" s="9">
        <v>0</v>
      </c>
      <c r="F20" s="9">
        <f t="shared" si="0"/>
        <v>150000</v>
      </c>
      <c r="G20" s="10">
        <f t="shared" si="1"/>
        <v>-150000</v>
      </c>
      <c r="H20" s="11">
        <f t="shared" si="2"/>
        <v>-1</v>
      </c>
    </row>
    <row r="21" spans="1:8" ht="20.100000000000001" customHeight="1" x14ac:dyDescent="0.25">
      <c r="A21" s="2" t="s">
        <v>48</v>
      </c>
      <c r="B21" s="3" t="s">
        <v>49</v>
      </c>
      <c r="C21" s="2" t="s">
        <v>15</v>
      </c>
      <c r="D21" s="4">
        <v>35000</v>
      </c>
      <c r="E21" s="4">
        <v>110000</v>
      </c>
      <c r="F21" s="4">
        <f t="shared" si="0"/>
        <v>145000</v>
      </c>
      <c r="G21" s="5">
        <f t="shared" si="1"/>
        <v>75000</v>
      </c>
      <c r="H21" s="6">
        <f t="shared" si="2"/>
        <v>2.1428571428571428</v>
      </c>
    </row>
    <row r="22" spans="1:8" ht="20.100000000000001" customHeight="1" x14ac:dyDescent="0.25">
      <c r="A22" s="7" t="s">
        <v>50</v>
      </c>
      <c r="B22" s="8" t="s">
        <v>51</v>
      </c>
      <c r="C22" s="7" t="s">
        <v>23</v>
      </c>
      <c r="D22" s="9">
        <v>60192</v>
      </c>
      <c r="E22" s="9">
        <v>75000</v>
      </c>
      <c r="F22" s="9">
        <f t="shared" si="0"/>
        <v>135192</v>
      </c>
      <c r="G22" s="10">
        <f t="shared" si="1"/>
        <v>14808</v>
      </c>
      <c r="H22" s="11">
        <f t="shared" si="2"/>
        <v>0.24601275917065391</v>
      </c>
    </row>
    <row r="23" spans="1:8" ht="20.100000000000001" customHeight="1" x14ac:dyDescent="0.25">
      <c r="A23" s="2" t="s">
        <v>52</v>
      </c>
      <c r="B23" s="3" t="s">
        <v>53</v>
      </c>
      <c r="C23" s="2" t="s">
        <v>54</v>
      </c>
      <c r="D23" s="4">
        <v>50000</v>
      </c>
      <c r="E23" s="4">
        <v>60500</v>
      </c>
      <c r="F23" s="4">
        <f t="shared" si="0"/>
        <v>110500</v>
      </c>
      <c r="G23" s="5">
        <f t="shared" si="1"/>
        <v>10500</v>
      </c>
      <c r="H23" s="6">
        <f t="shared" si="2"/>
        <v>0.21</v>
      </c>
    </row>
    <row r="24" spans="1:8" ht="20.100000000000001" customHeight="1" x14ac:dyDescent="0.25">
      <c r="A24" s="7" t="s">
        <v>55</v>
      </c>
      <c r="B24" s="8" t="s">
        <v>56</v>
      </c>
      <c r="C24" s="7" t="s">
        <v>15</v>
      </c>
      <c r="D24" s="9">
        <v>60000</v>
      </c>
      <c r="E24" s="9">
        <v>49000</v>
      </c>
      <c r="F24" s="9">
        <f t="shared" si="0"/>
        <v>109000</v>
      </c>
      <c r="G24" s="10">
        <f t="shared" si="1"/>
        <v>-11000</v>
      </c>
      <c r="H24" s="11">
        <f t="shared" si="2"/>
        <v>-0.18333333333333332</v>
      </c>
    </row>
    <row r="25" spans="1:8" ht="20.100000000000001" customHeight="1" x14ac:dyDescent="0.25">
      <c r="A25" s="2" t="s">
        <v>57</v>
      </c>
      <c r="B25" s="3" t="s">
        <v>58</v>
      </c>
      <c r="C25" s="2" t="s">
        <v>23</v>
      </c>
      <c r="D25" s="4">
        <v>65000</v>
      </c>
      <c r="E25" s="4">
        <v>40000</v>
      </c>
      <c r="F25" s="4">
        <f t="shared" si="0"/>
        <v>105000</v>
      </c>
      <c r="G25" s="5">
        <f t="shared" si="1"/>
        <v>-25000</v>
      </c>
      <c r="H25" s="6">
        <f t="shared" si="2"/>
        <v>-0.38461538461538464</v>
      </c>
    </row>
    <row r="26" spans="1:8" ht="20.100000000000001" customHeight="1" x14ac:dyDescent="0.25">
      <c r="A26" s="7" t="s">
        <v>59</v>
      </c>
      <c r="B26" s="8" t="s">
        <v>60</v>
      </c>
      <c r="C26" s="7" t="s">
        <v>23</v>
      </c>
      <c r="D26" s="9">
        <v>44000</v>
      </c>
      <c r="E26" s="9">
        <v>60000</v>
      </c>
      <c r="F26" s="9">
        <f t="shared" si="0"/>
        <v>104000</v>
      </c>
      <c r="G26" s="10">
        <f t="shared" si="1"/>
        <v>16000</v>
      </c>
      <c r="H26" s="11">
        <f t="shared" si="2"/>
        <v>0.36363636363636365</v>
      </c>
    </row>
    <row r="27" spans="1:8" ht="20.100000000000001" customHeight="1" x14ac:dyDescent="0.25">
      <c r="A27" s="2" t="s">
        <v>61</v>
      </c>
      <c r="B27" s="3" t="s">
        <v>62</v>
      </c>
      <c r="C27" s="2" t="s">
        <v>15</v>
      </c>
      <c r="D27" s="4">
        <v>103000</v>
      </c>
      <c r="E27" s="4">
        <v>0</v>
      </c>
      <c r="F27" s="4">
        <f t="shared" si="0"/>
        <v>103000</v>
      </c>
      <c r="G27" s="5">
        <f t="shared" si="1"/>
        <v>-103000</v>
      </c>
      <c r="H27" s="6">
        <f t="shared" si="2"/>
        <v>-1</v>
      </c>
    </row>
    <row r="28" spans="1:8" ht="20.100000000000001" customHeight="1" x14ac:dyDescent="0.25">
      <c r="A28" s="7" t="s">
        <v>63</v>
      </c>
      <c r="B28" s="8" t="s">
        <v>64</v>
      </c>
      <c r="C28" s="7" t="s">
        <v>15</v>
      </c>
      <c r="D28" s="9">
        <v>100019</v>
      </c>
      <c r="E28" s="9">
        <v>219</v>
      </c>
      <c r="F28" s="9">
        <f t="shared" si="0"/>
        <v>100238</v>
      </c>
      <c r="G28" s="10">
        <f t="shared" si="1"/>
        <v>-99800</v>
      </c>
      <c r="H28" s="11">
        <f t="shared" si="2"/>
        <v>-0.99781041602095599</v>
      </c>
    </row>
    <row r="29" spans="1:8" ht="20.100000000000001" customHeight="1" x14ac:dyDescent="0.25">
      <c r="A29" s="2" t="s">
        <v>65</v>
      </c>
      <c r="B29" s="3" t="s">
        <v>66</v>
      </c>
      <c r="C29" s="2" t="s">
        <v>15</v>
      </c>
      <c r="D29" s="4">
        <v>94000</v>
      </c>
      <c r="E29" s="4">
        <v>5000</v>
      </c>
      <c r="F29" s="4">
        <f t="shared" si="0"/>
        <v>99000</v>
      </c>
      <c r="G29" s="5">
        <f t="shared" si="1"/>
        <v>-89000</v>
      </c>
      <c r="H29" s="6">
        <f t="shared" si="2"/>
        <v>-0.94680851063829785</v>
      </c>
    </row>
    <row r="30" spans="1:8" ht="20.100000000000001" customHeight="1" x14ac:dyDescent="0.25">
      <c r="A30" s="7" t="s">
        <v>67</v>
      </c>
      <c r="B30" s="8" t="s">
        <v>68</v>
      </c>
      <c r="C30" s="7" t="s">
        <v>15</v>
      </c>
      <c r="D30" s="9">
        <v>29000</v>
      </c>
      <c r="E30" s="9">
        <v>70000</v>
      </c>
      <c r="F30" s="9">
        <f t="shared" si="0"/>
        <v>99000</v>
      </c>
      <c r="G30" s="10">
        <f t="shared" si="1"/>
        <v>41000</v>
      </c>
      <c r="H30" s="11">
        <f t="shared" si="2"/>
        <v>1.4137931034482758</v>
      </c>
    </row>
    <row r="31" spans="1:8" ht="20.100000000000001" customHeight="1" x14ac:dyDescent="0.25">
      <c r="A31" s="2" t="s">
        <v>69</v>
      </c>
      <c r="B31" s="3" t="s">
        <v>70</v>
      </c>
      <c r="C31" s="2" t="s">
        <v>15</v>
      </c>
      <c r="D31" s="4">
        <v>79000</v>
      </c>
      <c r="E31" s="4">
        <v>13721</v>
      </c>
      <c r="F31" s="4">
        <f t="shared" si="0"/>
        <v>92721</v>
      </c>
      <c r="G31" s="5">
        <f t="shared" si="1"/>
        <v>-65279</v>
      </c>
      <c r="H31" s="6">
        <f t="shared" si="2"/>
        <v>-0.82631645569620249</v>
      </c>
    </row>
    <row r="32" spans="1:8" ht="20.100000000000001" customHeight="1" x14ac:dyDescent="0.25">
      <c r="A32" s="7" t="s">
        <v>71</v>
      </c>
      <c r="B32" s="8" t="s">
        <v>72</v>
      </c>
      <c r="C32" s="7" t="s">
        <v>23</v>
      </c>
      <c r="D32" s="9">
        <v>60100</v>
      </c>
      <c r="E32" s="9">
        <v>26500</v>
      </c>
      <c r="F32" s="9">
        <f t="shared" si="0"/>
        <v>86600</v>
      </c>
      <c r="G32" s="10">
        <f t="shared" si="1"/>
        <v>-33600</v>
      </c>
      <c r="H32" s="11">
        <f t="shared" si="2"/>
        <v>-0.55906821963394338</v>
      </c>
    </row>
    <row r="33" spans="1:8" ht="20.100000000000001" customHeight="1" x14ac:dyDescent="0.25">
      <c r="A33" s="2" t="s">
        <v>73</v>
      </c>
      <c r="B33" s="3" t="s">
        <v>74</v>
      </c>
      <c r="C33" s="2" t="s">
        <v>15</v>
      </c>
      <c r="D33" s="4">
        <v>50000</v>
      </c>
      <c r="E33" s="4">
        <v>36500</v>
      </c>
      <c r="F33" s="4">
        <f t="shared" si="0"/>
        <v>86500</v>
      </c>
      <c r="G33" s="5">
        <f t="shared" si="1"/>
        <v>-13500</v>
      </c>
      <c r="H33" s="6">
        <f t="shared" si="2"/>
        <v>-0.27</v>
      </c>
    </row>
    <row r="34" spans="1:8" ht="20.100000000000001" customHeight="1" x14ac:dyDescent="0.25">
      <c r="A34" s="7" t="s">
        <v>75</v>
      </c>
      <c r="B34" s="8" t="s">
        <v>76</v>
      </c>
      <c r="C34" s="7" t="s">
        <v>23</v>
      </c>
      <c r="D34" s="9">
        <v>43000</v>
      </c>
      <c r="E34" s="9">
        <v>40500</v>
      </c>
      <c r="F34" s="9">
        <f t="shared" si="0"/>
        <v>83500</v>
      </c>
      <c r="G34" s="10">
        <f t="shared" si="1"/>
        <v>-2500</v>
      </c>
      <c r="H34" s="11">
        <f t="shared" si="2"/>
        <v>-5.8139534883720929E-2</v>
      </c>
    </row>
    <row r="35" spans="1:8" ht="20.100000000000001" customHeight="1" x14ac:dyDescent="0.25">
      <c r="A35" s="2" t="s">
        <v>77</v>
      </c>
      <c r="B35" s="3" t="s">
        <v>78</v>
      </c>
      <c r="C35" s="2" t="s">
        <v>15</v>
      </c>
      <c r="D35" s="4">
        <v>80000</v>
      </c>
      <c r="E35" s="4">
        <v>0</v>
      </c>
      <c r="F35" s="4">
        <f t="shared" si="0"/>
        <v>80000</v>
      </c>
      <c r="G35" s="5">
        <f t="shared" si="1"/>
        <v>-80000</v>
      </c>
      <c r="H35" s="6">
        <f t="shared" si="2"/>
        <v>-1</v>
      </c>
    </row>
    <row r="36" spans="1:8" ht="20.100000000000001" customHeight="1" x14ac:dyDescent="0.25">
      <c r="A36" s="7" t="s">
        <v>79</v>
      </c>
      <c r="B36" s="8" t="s">
        <v>80</v>
      </c>
      <c r="C36" s="7" t="s">
        <v>23</v>
      </c>
      <c r="D36" s="9">
        <v>40000</v>
      </c>
      <c r="E36" s="9">
        <v>39000</v>
      </c>
      <c r="F36" s="9">
        <f t="shared" si="0"/>
        <v>79000</v>
      </c>
      <c r="G36" s="10">
        <f t="shared" si="1"/>
        <v>-1000</v>
      </c>
      <c r="H36" s="11">
        <f t="shared" si="2"/>
        <v>-2.5000000000000001E-2</v>
      </c>
    </row>
    <row r="37" spans="1:8" ht="20.100000000000001" customHeight="1" x14ac:dyDescent="0.25">
      <c r="A37" s="2" t="s">
        <v>81</v>
      </c>
      <c r="B37" s="3" t="s">
        <v>82</v>
      </c>
      <c r="C37" s="2" t="s">
        <v>23</v>
      </c>
      <c r="D37" s="4">
        <v>42000</v>
      </c>
      <c r="E37" s="4">
        <v>29000</v>
      </c>
      <c r="F37" s="4">
        <f t="shared" si="0"/>
        <v>71000</v>
      </c>
      <c r="G37" s="5">
        <f t="shared" si="1"/>
        <v>-13000</v>
      </c>
      <c r="H37" s="6">
        <f t="shared" si="2"/>
        <v>-0.30952380952380953</v>
      </c>
    </row>
    <row r="38" spans="1:8" ht="20.100000000000001" customHeight="1" x14ac:dyDescent="0.25">
      <c r="A38" s="7" t="s">
        <v>83</v>
      </c>
      <c r="B38" s="8" t="s">
        <v>84</v>
      </c>
      <c r="C38" s="7" t="s">
        <v>54</v>
      </c>
      <c r="D38" s="9">
        <v>20950</v>
      </c>
      <c r="E38" s="9">
        <v>50000</v>
      </c>
      <c r="F38" s="9">
        <f t="shared" si="0"/>
        <v>70950</v>
      </c>
      <c r="G38" s="10">
        <f t="shared" si="1"/>
        <v>29050</v>
      </c>
      <c r="H38" s="11">
        <f t="shared" si="2"/>
        <v>1.3866348448687351</v>
      </c>
    </row>
    <row r="39" spans="1:8" ht="20.100000000000001" customHeight="1" x14ac:dyDescent="0.25">
      <c r="A39" s="2" t="s">
        <v>85</v>
      </c>
      <c r="B39" s="3" t="s">
        <v>86</v>
      </c>
      <c r="C39" s="2" t="s">
        <v>15</v>
      </c>
      <c r="D39" s="4">
        <v>70000</v>
      </c>
      <c r="E39" s="4">
        <v>0</v>
      </c>
      <c r="F39" s="4">
        <f t="shared" si="0"/>
        <v>70000</v>
      </c>
      <c r="G39" s="5">
        <f t="shared" si="1"/>
        <v>-70000</v>
      </c>
      <c r="H39" s="6">
        <f t="shared" si="2"/>
        <v>-1</v>
      </c>
    </row>
    <row r="40" spans="1:8" ht="20.100000000000001" customHeight="1" x14ac:dyDescent="0.25">
      <c r="A40" s="7" t="s">
        <v>87</v>
      </c>
      <c r="B40" s="8" t="s">
        <v>88</v>
      </c>
      <c r="C40" s="7" t="s">
        <v>15</v>
      </c>
      <c r="D40" s="9">
        <v>42000</v>
      </c>
      <c r="E40" s="9">
        <v>22000</v>
      </c>
      <c r="F40" s="9">
        <f t="shared" si="0"/>
        <v>64000</v>
      </c>
      <c r="G40" s="10">
        <f t="shared" si="1"/>
        <v>-20000</v>
      </c>
      <c r="H40" s="11">
        <f t="shared" si="2"/>
        <v>-0.47619047619047616</v>
      </c>
    </row>
    <row r="41" spans="1:8" ht="20.100000000000001" customHeight="1" x14ac:dyDescent="0.25">
      <c r="A41" s="2" t="s">
        <v>89</v>
      </c>
      <c r="B41" s="3" t="s">
        <v>90</v>
      </c>
      <c r="C41" s="2" t="s">
        <v>15</v>
      </c>
      <c r="D41" s="4">
        <v>10000</v>
      </c>
      <c r="E41" s="4">
        <v>53000</v>
      </c>
      <c r="F41" s="4">
        <f t="shared" si="0"/>
        <v>63000</v>
      </c>
      <c r="G41" s="5">
        <f t="shared" si="1"/>
        <v>43000</v>
      </c>
      <c r="H41" s="6">
        <f t="shared" si="2"/>
        <v>4.3</v>
      </c>
    </row>
    <row r="42" spans="1:8" ht="20.100000000000001" customHeight="1" x14ac:dyDescent="0.25">
      <c r="A42" s="7"/>
      <c r="B42" s="8" t="s">
        <v>91</v>
      </c>
      <c r="C42" s="7" t="s">
        <v>23</v>
      </c>
      <c r="D42" s="9">
        <v>60580</v>
      </c>
      <c r="E42" s="9">
        <v>0</v>
      </c>
      <c r="F42" s="9">
        <f t="shared" si="0"/>
        <v>60580</v>
      </c>
      <c r="G42" s="10">
        <f t="shared" si="1"/>
        <v>-60580</v>
      </c>
      <c r="H42" s="11">
        <f t="shared" si="2"/>
        <v>-1</v>
      </c>
    </row>
    <row r="43" spans="1:8" ht="20.100000000000001" customHeight="1" x14ac:dyDescent="0.25">
      <c r="A43" s="2" t="s">
        <v>92</v>
      </c>
      <c r="B43" s="3" t="s">
        <v>93</v>
      </c>
      <c r="C43" s="2" t="s">
        <v>15</v>
      </c>
      <c r="D43" s="4">
        <v>0</v>
      </c>
      <c r="E43" s="4">
        <v>60000</v>
      </c>
      <c r="F43" s="4">
        <f t="shared" si="0"/>
        <v>60000</v>
      </c>
      <c r="G43" s="5">
        <f t="shared" si="1"/>
        <v>60000</v>
      </c>
      <c r="H43" s="6" t="str">
        <f t="shared" si="2"/>
        <v/>
      </c>
    </row>
    <row r="44" spans="1:8" ht="20.100000000000001" customHeight="1" x14ac:dyDescent="0.25">
      <c r="A44" s="7" t="s">
        <v>94</v>
      </c>
      <c r="B44" s="8" t="s">
        <v>95</v>
      </c>
      <c r="C44" s="7" t="s">
        <v>15</v>
      </c>
      <c r="D44" s="9">
        <v>58000</v>
      </c>
      <c r="E44" s="9">
        <v>0</v>
      </c>
      <c r="F44" s="9">
        <f t="shared" si="0"/>
        <v>58000</v>
      </c>
      <c r="G44" s="10">
        <f t="shared" si="1"/>
        <v>-58000</v>
      </c>
      <c r="H44" s="11">
        <f t="shared" si="2"/>
        <v>-1</v>
      </c>
    </row>
    <row r="45" spans="1:8" ht="20.100000000000001" customHeight="1" x14ac:dyDescent="0.25">
      <c r="A45" s="2" t="s">
        <v>96</v>
      </c>
      <c r="B45" s="3" t="s">
        <v>97</v>
      </c>
      <c r="C45" s="2" t="s">
        <v>15</v>
      </c>
      <c r="D45" s="4">
        <v>53597</v>
      </c>
      <c r="E45" s="4">
        <v>927</v>
      </c>
      <c r="F45" s="4">
        <f t="shared" si="0"/>
        <v>54524</v>
      </c>
      <c r="G45" s="5">
        <f t="shared" si="1"/>
        <v>-52670</v>
      </c>
      <c r="H45" s="6">
        <f t="shared" si="2"/>
        <v>-0.9827042558352147</v>
      </c>
    </row>
    <row r="46" spans="1:8" ht="20.100000000000001" customHeight="1" x14ac:dyDescent="0.25">
      <c r="A46" s="7" t="s">
        <v>98</v>
      </c>
      <c r="B46" s="8" t="s">
        <v>99</v>
      </c>
      <c r="C46" s="7" t="s">
        <v>15</v>
      </c>
      <c r="D46" s="9">
        <v>8500</v>
      </c>
      <c r="E46" s="9">
        <v>45000</v>
      </c>
      <c r="F46" s="9">
        <f t="shared" si="0"/>
        <v>53500</v>
      </c>
      <c r="G46" s="10">
        <f t="shared" si="1"/>
        <v>36500</v>
      </c>
      <c r="H46" s="11">
        <f t="shared" si="2"/>
        <v>4.2941176470588234</v>
      </c>
    </row>
    <row r="47" spans="1:8" ht="20.100000000000001" customHeight="1" x14ac:dyDescent="0.25">
      <c r="A47" s="2" t="s">
        <v>100</v>
      </c>
      <c r="B47" s="3" t="s">
        <v>101</v>
      </c>
      <c r="C47" s="2" t="s">
        <v>15</v>
      </c>
      <c r="D47" s="4">
        <v>26000</v>
      </c>
      <c r="E47" s="4">
        <v>27000</v>
      </c>
      <c r="F47" s="4">
        <f t="shared" si="0"/>
        <v>53000</v>
      </c>
      <c r="G47" s="5">
        <f t="shared" si="1"/>
        <v>1000</v>
      </c>
      <c r="H47" s="6">
        <f t="shared" si="2"/>
        <v>3.8461538461538464E-2</v>
      </c>
    </row>
    <row r="48" spans="1:8" ht="20.100000000000001" customHeight="1" x14ac:dyDescent="0.25">
      <c r="A48" s="7" t="s">
        <v>102</v>
      </c>
      <c r="B48" s="8" t="s">
        <v>103</v>
      </c>
      <c r="C48" s="7" t="s">
        <v>23</v>
      </c>
      <c r="D48" s="9">
        <v>0</v>
      </c>
      <c r="E48" s="9">
        <v>50000</v>
      </c>
      <c r="F48" s="9">
        <f t="shared" si="0"/>
        <v>50000</v>
      </c>
      <c r="G48" s="10">
        <f t="shared" si="1"/>
        <v>50000</v>
      </c>
      <c r="H48" s="11" t="str">
        <f t="shared" si="2"/>
        <v/>
      </c>
    </row>
    <row r="49" spans="1:8" ht="20.100000000000001" customHeight="1" x14ac:dyDescent="0.25">
      <c r="A49" s="2" t="s">
        <v>104</v>
      </c>
      <c r="B49" s="3" t="s">
        <v>105</v>
      </c>
      <c r="C49" s="2" t="s">
        <v>15</v>
      </c>
      <c r="D49" s="4">
        <v>25000</v>
      </c>
      <c r="E49" s="4">
        <v>20000</v>
      </c>
      <c r="F49" s="4">
        <f t="shared" si="0"/>
        <v>45000</v>
      </c>
      <c r="G49" s="5">
        <f t="shared" si="1"/>
        <v>-5000</v>
      </c>
      <c r="H49" s="6">
        <f t="shared" si="2"/>
        <v>-0.2</v>
      </c>
    </row>
    <row r="50" spans="1:8" ht="20.100000000000001" customHeight="1" x14ac:dyDescent="0.25">
      <c r="A50" s="7" t="s">
        <v>106</v>
      </c>
      <c r="B50" s="8" t="s">
        <v>107</v>
      </c>
      <c r="C50" s="7" t="s">
        <v>15</v>
      </c>
      <c r="D50" s="9">
        <v>33000</v>
      </c>
      <c r="E50" s="9">
        <v>10000</v>
      </c>
      <c r="F50" s="9">
        <f t="shared" si="0"/>
        <v>43000</v>
      </c>
      <c r="G50" s="10">
        <f t="shared" si="1"/>
        <v>-23000</v>
      </c>
      <c r="H50" s="11">
        <f t="shared" si="2"/>
        <v>-0.69696969696969702</v>
      </c>
    </row>
    <row r="51" spans="1:8" ht="20.100000000000001" customHeight="1" x14ac:dyDescent="0.25">
      <c r="A51" s="2" t="s">
        <v>108</v>
      </c>
      <c r="B51" s="3" t="s">
        <v>109</v>
      </c>
      <c r="C51" s="2" t="s">
        <v>15</v>
      </c>
      <c r="D51" s="4">
        <v>30000</v>
      </c>
      <c r="E51" s="4">
        <v>12000</v>
      </c>
      <c r="F51" s="4">
        <f t="shared" si="0"/>
        <v>42000</v>
      </c>
      <c r="G51" s="5">
        <f t="shared" si="1"/>
        <v>-18000</v>
      </c>
      <c r="H51" s="6">
        <f t="shared" si="2"/>
        <v>-0.6</v>
      </c>
    </row>
    <row r="52" spans="1:8" ht="20.100000000000001" customHeight="1" x14ac:dyDescent="0.25">
      <c r="A52" s="7" t="s">
        <v>110</v>
      </c>
      <c r="B52" s="8" t="s">
        <v>111</v>
      </c>
      <c r="C52" s="7" t="s">
        <v>15</v>
      </c>
      <c r="D52" s="9">
        <v>26000</v>
      </c>
      <c r="E52" s="9">
        <v>16000</v>
      </c>
      <c r="F52" s="9">
        <f t="shared" si="0"/>
        <v>42000</v>
      </c>
      <c r="G52" s="10">
        <f t="shared" si="1"/>
        <v>-10000</v>
      </c>
      <c r="H52" s="11">
        <f t="shared" si="2"/>
        <v>-0.38461538461538464</v>
      </c>
    </row>
    <row r="53" spans="1:8" ht="20.100000000000001" customHeight="1" x14ac:dyDescent="0.25">
      <c r="A53" s="2" t="s">
        <v>112</v>
      </c>
      <c r="B53" s="3" t="s">
        <v>113</v>
      </c>
      <c r="C53" s="2" t="s">
        <v>15</v>
      </c>
      <c r="D53" s="4">
        <v>42000</v>
      </c>
      <c r="E53" s="4">
        <v>0</v>
      </c>
      <c r="F53" s="4">
        <f t="shared" si="0"/>
        <v>42000</v>
      </c>
      <c r="G53" s="5">
        <f t="shared" si="1"/>
        <v>-42000</v>
      </c>
      <c r="H53" s="6">
        <f t="shared" si="2"/>
        <v>-1</v>
      </c>
    </row>
    <row r="54" spans="1:8" ht="20.100000000000001" customHeight="1" x14ac:dyDescent="0.25">
      <c r="A54" s="7" t="s">
        <v>114</v>
      </c>
      <c r="B54" s="8" t="s">
        <v>115</v>
      </c>
      <c r="C54" s="7" t="s">
        <v>15</v>
      </c>
      <c r="D54" s="9">
        <v>20000</v>
      </c>
      <c r="E54" s="9">
        <v>20000</v>
      </c>
      <c r="F54" s="9">
        <f t="shared" si="0"/>
        <v>40000</v>
      </c>
      <c r="G54" s="10">
        <f t="shared" si="1"/>
        <v>0</v>
      </c>
      <c r="H54" s="11">
        <f t="shared" si="2"/>
        <v>0</v>
      </c>
    </row>
    <row r="55" spans="1:8" ht="20.100000000000001" customHeight="1" x14ac:dyDescent="0.25">
      <c r="A55" s="2" t="s">
        <v>116</v>
      </c>
      <c r="B55" s="3" t="s">
        <v>117</v>
      </c>
      <c r="C55" s="2" t="s">
        <v>54</v>
      </c>
      <c r="D55" s="4">
        <v>37320</v>
      </c>
      <c r="E55" s="4">
        <v>0</v>
      </c>
      <c r="F55" s="4">
        <f t="shared" si="0"/>
        <v>37320</v>
      </c>
      <c r="G55" s="5">
        <f t="shared" si="1"/>
        <v>-37320</v>
      </c>
      <c r="H55" s="6">
        <f t="shared" si="2"/>
        <v>-1</v>
      </c>
    </row>
    <row r="56" spans="1:8" ht="20.100000000000001" customHeight="1" x14ac:dyDescent="0.25">
      <c r="A56" s="7" t="s">
        <v>118</v>
      </c>
      <c r="B56" s="8" t="s">
        <v>119</v>
      </c>
      <c r="C56" s="7" t="s">
        <v>15</v>
      </c>
      <c r="D56" s="9">
        <v>10000</v>
      </c>
      <c r="E56" s="9">
        <v>25000</v>
      </c>
      <c r="F56" s="9">
        <f t="shared" si="0"/>
        <v>35000</v>
      </c>
      <c r="G56" s="10">
        <f t="shared" si="1"/>
        <v>15000</v>
      </c>
      <c r="H56" s="11">
        <f t="shared" si="2"/>
        <v>1.5</v>
      </c>
    </row>
    <row r="57" spans="1:8" ht="20.100000000000001" customHeight="1" x14ac:dyDescent="0.25">
      <c r="A57" s="2" t="s">
        <v>120</v>
      </c>
      <c r="B57" s="3" t="s">
        <v>121</v>
      </c>
      <c r="C57" s="2" t="s">
        <v>23</v>
      </c>
      <c r="D57" s="4">
        <v>20000</v>
      </c>
      <c r="E57" s="4">
        <v>13000</v>
      </c>
      <c r="F57" s="4">
        <f t="shared" si="0"/>
        <v>33000</v>
      </c>
      <c r="G57" s="5">
        <f t="shared" si="1"/>
        <v>-7000</v>
      </c>
      <c r="H57" s="6">
        <f t="shared" si="2"/>
        <v>-0.35</v>
      </c>
    </row>
    <row r="58" spans="1:8" ht="20.100000000000001" customHeight="1" x14ac:dyDescent="0.25">
      <c r="A58" s="7" t="s">
        <v>122</v>
      </c>
      <c r="B58" s="8" t="s">
        <v>123</v>
      </c>
      <c r="C58" s="7" t="s">
        <v>26</v>
      </c>
      <c r="D58" s="9">
        <v>8060</v>
      </c>
      <c r="E58" s="9">
        <v>24500</v>
      </c>
      <c r="F58" s="9">
        <f t="shared" si="0"/>
        <v>32560</v>
      </c>
      <c r="G58" s="10">
        <f t="shared" si="1"/>
        <v>16440</v>
      </c>
      <c r="H58" s="11">
        <f t="shared" si="2"/>
        <v>2.0397022332506203</v>
      </c>
    </row>
    <row r="59" spans="1:8" ht="20.100000000000001" customHeight="1" x14ac:dyDescent="0.25">
      <c r="A59" s="2" t="s">
        <v>124</v>
      </c>
      <c r="B59" s="3" t="s">
        <v>125</v>
      </c>
      <c r="C59" s="2" t="s">
        <v>15</v>
      </c>
      <c r="D59" s="4">
        <v>24000</v>
      </c>
      <c r="E59" s="4">
        <v>7000</v>
      </c>
      <c r="F59" s="4">
        <f t="shared" si="0"/>
        <v>31000</v>
      </c>
      <c r="G59" s="5">
        <f t="shared" si="1"/>
        <v>-17000</v>
      </c>
      <c r="H59" s="6">
        <f t="shared" si="2"/>
        <v>-0.70833333333333337</v>
      </c>
    </row>
    <row r="60" spans="1:8" ht="20.100000000000001" customHeight="1" x14ac:dyDescent="0.25">
      <c r="A60" s="7" t="s">
        <v>126</v>
      </c>
      <c r="B60" s="8" t="s">
        <v>127</v>
      </c>
      <c r="C60" s="7" t="s">
        <v>23</v>
      </c>
      <c r="D60" s="9">
        <v>0</v>
      </c>
      <c r="E60" s="9">
        <v>30500</v>
      </c>
      <c r="F60" s="9">
        <f t="shared" si="0"/>
        <v>30500</v>
      </c>
      <c r="G60" s="10">
        <f t="shared" si="1"/>
        <v>30500</v>
      </c>
      <c r="H60" s="11" t="str">
        <f t="shared" si="2"/>
        <v/>
      </c>
    </row>
    <row r="61" spans="1:8" ht="20.100000000000001" customHeight="1" x14ac:dyDescent="0.25">
      <c r="A61" s="2" t="s">
        <v>128</v>
      </c>
      <c r="B61" s="3" t="s">
        <v>129</v>
      </c>
      <c r="C61" s="2" t="s">
        <v>15</v>
      </c>
      <c r="D61" s="4">
        <v>20000</v>
      </c>
      <c r="E61" s="4">
        <v>10000</v>
      </c>
      <c r="F61" s="4">
        <f t="shared" si="0"/>
        <v>30000</v>
      </c>
      <c r="G61" s="5">
        <f t="shared" si="1"/>
        <v>-10000</v>
      </c>
      <c r="H61" s="6">
        <f t="shared" si="2"/>
        <v>-0.5</v>
      </c>
    </row>
    <row r="62" spans="1:8" ht="20.100000000000001" customHeight="1" x14ac:dyDescent="0.25">
      <c r="A62" s="7" t="s">
        <v>130</v>
      </c>
      <c r="B62" s="8" t="s">
        <v>131</v>
      </c>
      <c r="C62" s="7" t="s">
        <v>15</v>
      </c>
      <c r="D62" s="9">
        <v>20000</v>
      </c>
      <c r="E62" s="9">
        <v>10000</v>
      </c>
      <c r="F62" s="9">
        <f t="shared" si="0"/>
        <v>30000</v>
      </c>
      <c r="G62" s="10">
        <f t="shared" si="1"/>
        <v>-10000</v>
      </c>
      <c r="H62" s="11">
        <f t="shared" si="2"/>
        <v>-0.5</v>
      </c>
    </row>
    <row r="63" spans="1:8" ht="20.100000000000001" customHeight="1" x14ac:dyDescent="0.25">
      <c r="A63" s="2" t="s">
        <v>132</v>
      </c>
      <c r="B63" s="3" t="s">
        <v>133</v>
      </c>
      <c r="C63" s="2" t="s">
        <v>15</v>
      </c>
      <c r="D63" s="4">
        <v>20000</v>
      </c>
      <c r="E63" s="4">
        <v>10000</v>
      </c>
      <c r="F63" s="4">
        <f t="shared" si="0"/>
        <v>30000</v>
      </c>
      <c r="G63" s="5">
        <f t="shared" si="1"/>
        <v>-10000</v>
      </c>
      <c r="H63" s="6">
        <f t="shared" si="2"/>
        <v>-0.5</v>
      </c>
    </row>
    <row r="64" spans="1:8" ht="20.100000000000001" customHeight="1" x14ac:dyDescent="0.25">
      <c r="A64" s="7" t="s">
        <v>134</v>
      </c>
      <c r="B64" s="8" t="s">
        <v>135</v>
      </c>
      <c r="C64" s="7" t="s">
        <v>15</v>
      </c>
      <c r="D64" s="9">
        <v>20000</v>
      </c>
      <c r="E64" s="9">
        <v>10000</v>
      </c>
      <c r="F64" s="9">
        <f t="shared" si="0"/>
        <v>30000</v>
      </c>
      <c r="G64" s="10">
        <f t="shared" si="1"/>
        <v>-10000</v>
      </c>
      <c r="H64" s="11">
        <f t="shared" si="2"/>
        <v>-0.5</v>
      </c>
    </row>
    <row r="65" spans="1:8" ht="20.100000000000001" customHeight="1" x14ac:dyDescent="0.25">
      <c r="A65" s="2" t="s">
        <v>136</v>
      </c>
      <c r="B65" s="3" t="s">
        <v>137</v>
      </c>
      <c r="C65" s="2" t="s">
        <v>15</v>
      </c>
      <c r="D65" s="4">
        <v>0</v>
      </c>
      <c r="E65" s="4">
        <v>30000</v>
      </c>
      <c r="F65" s="4">
        <f t="shared" si="0"/>
        <v>30000</v>
      </c>
      <c r="G65" s="5">
        <f t="shared" si="1"/>
        <v>30000</v>
      </c>
      <c r="H65" s="6" t="str">
        <f t="shared" si="2"/>
        <v/>
      </c>
    </row>
    <row r="66" spans="1:8" ht="20.100000000000001" customHeight="1" x14ac:dyDescent="0.25">
      <c r="A66" s="7" t="s">
        <v>138</v>
      </c>
      <c r="B66" s="8" t="s">
        <v>139</v>
      </c>
      <c r="C66" s="7" t="s">
        <v>15</v>
      </c>
      <c r="D66" s="9">
        <v>30000</v>
      </c>
      <c r="E66" s="9">
        <v>0</v>
      </c>
      <c r="F66" s="9">
        <f t="shared" si="0"/>
        <v>30000</v>
      </c>
      <c r="G66" s="10">
        <f t="shared" si="1"/>
        <v>-30000</v>
      </c>
      <c r="H66" s="11">
        <f t="shared" si="2"/>
        <v>-1</v>
      </c>
    </row>
    <row r="67" spans="1:8" ht="20.100000000000001" customHeight="1" x14ac:dyDescent="0.25">
      <c r="A67" s="2" t="s">
        <v>140</v>
      </c>
      <c r="B67" s="3" t="s">
        <v>141</v>
      </c>
      <c r="C67" s="2" t="s">
        <v>15</v>
      </c>
      <c r="D67" s="4">
        <v>0</v>
      </c>
      <c r="E67" s="4">
        <v>29000</v>
      </c>
      <c r="F67" s="4">
        <f t="shared" si="0"/>
        <v>29000</v>
      </c>
      <c r="G67" s="5">
        <f t="shared" si="1"/>
        <v>29000</v>
      </c>
      <c r="H67" s="6" t="str">
        <f t="shared" si="2"/>
        <v/>
      </c>
    </row>
    <row r="68" spans="1:8" ht="20.100000000000001" customHeight="1" x14ac:dyDescent="0.25">
      <c r="A68" s="7" t="s">
        <v>142</v>
      </c>
      <c r="B68" s="8" t="s">
        <v>143</v>
      </c>
      <c r="C68" s="7" t="s">
        <v>15</v>
      </c>
      <c r="D68" s="9">
        <v>21000</v>
      </c>
      <c r="E68" s="9">
        <v>6552</v>
      </c>
      <c r="F68" s="9">
        <f t="shared" si="0"/>
        <v>27552</v>
      </c>
      <c r="G68" s="10">
        <f t="shared" si="1"/>
        <v>-14448</v>
      </c>
      <c r="H68" s="11">
        <f t="shared" si="2"/>
        <v>-0.68799999999999994</v>
      </c>
    </row>
    <row r="69" spans="1:8" ht="20.100000000000001" customHeight="1" x14ac:dyDescent="0.25">
      <c r="A69" s="2" t="s">
        <v>144</v>
      </c>
      <c r="B69" s="3" t="s">
        <v>145</v>
      </c>
      <c r="C69" s="2" t="s">
        <v>23</v>
      </c>
      <c r="D69" s="4">
        <v>9374</v>
      </c>
      <c r="E69" s="4">
        <v>18000</v>
      </c>
      <c r="F69" s="4">
        <f t="shared" ref="F69:F132" si="3">D69+E69</f>
        <v>27374</v>
      </c>
      <c r="G69" s="5">
        <f t="shared" ref="G69:G132" si="4">E69-D69</f>
        <v>8626</v>
      </c>
      <c r="H69" s="6">
        <f t="shared" ref="H69:H132" si="5">IF(D69&gt;0, (E69-D69)/D69, "")</f>
        <v>0.92020482184766372</v>
      </c>
    </row>
    <row r="70" spans="1:8" ht="20.100000000000001" customHeight="1" x14ac:dyDescent="0.25">
      <c r="A70" s="7" t="s">
        <v>146</v>
      </c>
      <c r="B70" s="8" t="s">
        <v>147</v>
      </c>
      <c r="C70" s="7" t="s">
        <v>26</v>
      </c>
      <c r="D70" s="9">
        <v>26200</v>
      </c>
      <c r="E70" s="9">
        <v>1000</v>
      </c>
      <c r="F70" s="9">
        <f t="shared" si="3"/>
        <v>27200</v>
      </c>
      <c r="G70" s="10">
        <f t="shared" si="4"/>
        <v>-25200</v>
      </c>
      <c r="H70" s="11">
        <f t="shared" si="5"/>
        <v>-0.96183206106870234</v>
      </c>
    </row>
    <row r="71" spans="1:8" ht="20.100000000000001" customHeight="1" x14ac:dyDescent="0.25">
      <c r="A71" s="2" t="s">
        <v>148</v>
      </c>
      <c r="B71" s="3" t="s">
        <v>149</v>
      </c>
      <c r="C71" s="2" t="s">
        <v>54</v>
      </c>
      <c r="D71" s="4">
        <v>26900</v>
      </c>
      <c r="E71" s="4">
        <v>0</v>
      </c>
      <c r="F71" s="4">
        <f t="shared" si="3"/>
        <v>26900</v>
      </c>
      <c r="G71" s="5">
        <f t="shared" si="4"/>
        <v>-26900</v>
      </c>
      <c r="H71" s="6">
        <f t="shared" si="5"/>
        <v>-1</v>
      </c>
    </row>
    <row r="72" spans="1:8" ht="20.100000000000001" customHeight="1" x14ac:dyDescent="0.25">
      <c r="A72" s="7" t="s">
        <v>150</v>
      </c>
      <c r="B72" s="8" t="s">
        <v>151</v>
      </c>
      <c r="C72" s="7" t="s">
        <v>15</v>
      </c>
      <c r="D72" s="9">
        <v>16000</v>
      </c>
      <c r="E72" s="9">
        <v>10000</v>
      </c>
      <c r="F72" s="9">
        <f t="shared" si="3"/>
        <v>26000</v>
      </c>
      <c r="G72" s="10">
        <f t="shared" si="4"/>
        <v>-6000</v>
      </c>
      <c r="H72" s="11">
        <f t="shared" si="5"/>
        <v>-0.375</v>
      </c>
    </row>
    <row r="73" spans="1:8" ht="20.100000000000001" customHeight="1" x14ac:dyDescent="0.25">
      <c r="A73" s="2" t="s">
        <v>152</v>
      </c>
      <c r="B73" s="3" t="s">
        <v>153</v>
      </c>
      <c r="C73" s="2" t="s">
        <v>15</v>
      </c>
      <c r="D73" s="4">
        <v>500</v>
      </c>
      <c r="E73" s="4">
        <v>25000</v>
      </c>
      <c r="F73" s="4">
        <f t="shared" si="3"/>
        <v>25500</v>
      </c>
      <c r="G73" s="5">
        <f t="shared" si="4"/>
        <v>24500</v>
      </c>
      <c r="H73" s="6">
        <f t="shared" si="5"/>
        <v>49</v>
      </c>
    </row>
    <row r="74" spans="1:8" ht="20.100000000000001" customHeight="1" x14ac:dyDescent="0.25">
      <c r="A74" s="7" t="s">
        <v>154</v>
      </c>
      <c r="B74" s="8" t="s">
        <v>155</v>
      </c>
      <c r="C74" s="7" t="s">
        <v>15</v>
      </c>
      <c r="D74" s="9">
        <v>19000</v>
      </c>
      <c r="E74" s="9">
        <v>6000</v>
      </c>
      <c r="F74" s="9">
        <f t="shared" si="3"/>
        <v>25000</v>
      </c>
      <c r="G74" s="10">
        <f t="shared" si="4"/>
        <v>-13000</v>
      </c>
      <c r="H74" s="11">
        <f t="shared" si="5"/>
        <v>-0.68421052631578949</v>
      </c>
    </row>
    <row r="75" spans="1:8" ht="20.100000000000001" customHeight="1" x14ac:dyDescent="0.25">
      <c r="A75" s="2" t="s">
        <v>156</v>
      </c>
      <c r="B75" s="3" t="s">
        <v>157</v>
      </c>
      <c r="C75" s="2" t="s">
        <v>23</v>
      </c>
      <c r="D75" s="4">
        <v>20000</v>
      </c>
      <c r="E75" s="4">
        <v>5000</v>
      </c>
      <c r="F75" s="4">
        <f t="shared" si="3"/>
        <v>25000</v>
      </c>
      <c r="G75" s="5">
        <f t="shared" si="4"/>
        <v>-15000</v>
      </c>
      <c r="H75" s="6">
        <f t="shared" si="5"/>
        <v>-0.75</v>
      </c>
    </row>
    <row r="76" spans="1:8" ht="20.100000000000001" customHeight="1" x14ac:dyDescent="0.25">
      <c r="A76" s="7" t="s">
        <v>158</v>
      </c>
      <c r="B76" s="8" t="s">
        <v>159</v>
      </c>
      <c r="C76" s="7" t="s">
        <v>15</v>
      </c>
      <c r="D76" s="9">
        <v>20000</v>
      </c>
      <c r="E76" s="9">
        <v>3000</v>
      </c>
      <c r="F76" s="9">
        <f t="shared" si="3"/>
        <v>23000</v>
      </c>
      <c r="G76" s="10">
        <f t="shared" si="4"/>
        <v>-17000</v>
      </c>
      <c r="H76" s="11">
        <f t="shared" si="5"/>
        <v>-0.85</v>
      </c>
    </row>
    <row r="77" spans="1:8" ht="20.100000000000001" customHeight="1" x14ac:dyDescent="0.25">
      <c r="A77" s="2" t="s">
        <v>160</v>
      </c>
      <c r="B77" s="3" t="s">
        <v>161</v>
      </c>
      <c r="C77" s="2" t="s">
        <v>15</v>
      </c>
      <c r="D77" s="4">
        <v>18980</v>
      </c>
      <c r="E77" s="4">
        <v>4000</v>
      </c>
      <c r="F77" s="4">
        <f t="shared" si="3"/>
        <v>22980</v>
      </c>
      <c r="G77" s="5">
        <f t="shared" si="4"/>
        <v>-14980</v>
      </c>
      <c r="H77" s="6">
        <f t="shared" si="5"/>
        <v>-0.78925184404636461</v>
      </c>
    </row>
    <row r="78" spans="1:8" ht="20.100000000000001" customHeight="1" x14ac:dyDescent="0.25">
      <c r="A78" s="7" t="s">
        <v>162</v>
      </c>
      <c r="B78" s="8" t="s">
        <v>163</v>
      </c>
      <c r="C78" s="7" t="s">
        <v>15</v>
      </c>
      <c r="D78" s="9">
        <v>22500</v>
      </c>
      <c r="E78" s="9">
        <v>0</v>
      </c>
      <c r="F78" s="9">
        <f t="shared" si="3"/>
        <v>22500</v>
      </c>
      <c r="G78" s="10">
        <f t="shared" si="4"/>
        <v>-22500</v>
      </c>
      <c r="H78" s="11">
        <f t="shared" si="5"/>
        <v>-1</v>
      </c>
    </row>
    <row r="79" spans="1:8" ht="20.100000000000001" customHeight="1" x14ac:dyDescent="0.25">
      <c r="A79" s="2" t="s">
        <v>164</v>
      </c>
      <c r="B79" s="3" t="s">
        <v>165</v>
      </c>
      <c r="C79" s="2" t="s">
        <v>15</v>
      </c>
      <c r="D79" s="4">
        <v>22000</v>
      </c>
      <c r="E79" s="4">
        <v>0</v>
      </c>
      <c r="F79" s="4">
        <f t="shared" si="3"/>
        <v>22000</v>
      </c>
      <c r="G79" s="5">
        <f t="shared" si="4"/>
        <v>-22000</v>
      </c>
      <c r="H79" s="6">
        <f t="shared" si="5"/>
        <v>-1</v>
      </c>
    </row>
    <row r="80" spans="1:8" ht="20.100000000000001" customHeight="1" x14ac:dyDescent="0.25">
      <c r="A80" s="7" t="s">
        <v>166</v>
      </c>
      <c r="B80" s="8" t="s">
        <v>167</v>
      </c>
      <c r="C80" s="7" t="s">
        <v>15</v>
      </c>
      <c r="D80" s="9">
        <v>9500</v>
      </c>
      <c r="E80" s="9">
        <v>12000</v>
      </c>
      <c r="F80" s="9">
        <f t="shared" si="3"/>
        <v>21500</v>
      </c>
      <c r="G80" s="10">
        <f t="shared" si="4"/>
        <v>2500</v>
      </c>
      <c r="H80" s="11">
        <f t="shared" si="5"/>
        <v>0.26315789473684209</v>
      </c>
    </row>
    <row r="81" spans="1:8" ht="20.100000000000001" customHeight="1" x14ac:dyDescent="0.25">
      <c r="A81" s="2" t="s">
        <v>168</v>
      </c>
      <c r="B81" s="3" t="s">
        <v>169</v>
      </c>
      <c r="C81" s="2" t="s">
        <v>15</v>
      </c>
      <c r="D81" s="4">
        <v>17000</v>
      </c>
      <c r="E81" s="4">
        <v>4000</v>
      </c>
      <c r="F81" s="4">
        <f t="shared" si="3"/>
        <v>21000</v>
      </c>
      <c r="G81" s="5">
        <f t="shared" si="4"/>
        <v>-13000</v>
      </c>
      <c r="H81" s="6">
        <f t="shared" si="5"/>
        <v>-0.76470588235294112</v>
      </c>
    </row>
    <row r="82" spans="1:8" ht="20.100000000000001" customHeight="1" x14ac:dyDescent="0.25">
      <c r="A82" s="7" t="s">
        <v>170</v>
      </c>
      <c r="B82" s="8" t="s">
        <v>171</v>
      </c>
      <c r="C82" s="7" t="s">
        <v>23</v>
      </c>
      <c r="D82" s="9">
        <v>16000</v>
      </c>
      <c r="E82" s="9">
        <v>5000</v>
      </c>
      <c r="F82" s="9">
        <f t="shared" si="3"/>
        <v>21000</v>
      </c>
      <c r="G82" s="10">
        <f t="shared" si="4"/>
        <v>-11000</v>
      </c>
      <c r="H82" s="11">
        <f t="shared" si="5"/>
        <v>-0.6875</v>
      </c>
    </row>
    <row r="83" spans="1:8" ht="20.100000000000001" customHeight="1" x14ac:dyDescent="0.25">
      <c r="A83" s="2" t="s">
        <v>172</v>
      </c>
      <c r="B83" s="3" t="s">
        <v>173</v>
      </c>
      <c r="C83" s="2" t="s">
        <v>15</v>
      </c>
      <c r="D83" s="4">
        <v>9000</v>
      </c>
      <c r="E83" s="4">
        <v>11500</v>
      </c>
      <c r="F83" s="4">
        <f t="shared" si="3"/>
        <v>20500</v>
      </c>
      <c r="G83" s="5">
        <f t="shared" si="4"/>
        <v>2500</v>
      </c>
      <c r="H83" s="6">
        <f t="shared" si="5"/>
        <v>0.27777777777777779</v>
      </c>
    </row>
    <row r="84" spans="1:8" ht="20.100000000000001" customHeight="1" x14ac:dyDescent="0.25">
      <c r="A84" s="7" t="s">
        <v>174</v>
      </c>
      <c r="B84" s="8" t="s">
        <v>175</v>
      </c>
      <c r="C84" s="7" t="s">
        <v>23</v>
      </c>
      <c r="D84" s="9">
        <v>9500</v>
      </c>
      <c r="E84" s="9">
        <v>10500</v>
      </c>
      <c r="F84" s="9">
        <f t="shared" si="3"/>
        <v>20000</v>
      </c>
      <c r="G84" s="10">
        <f t="shared" si="4"/>
        <v>1000</v>
      </c>
      <c r="H84" s="11">
        <f t="shared" si="5"/>
        <v>0.10526315789473684</v>
      </c>
    </row>
    <row r="85" spans="1:8" ht="20.100000000000001" customHeight="1" x14ac:dyDescent="0.25">
      <c r="A85" s="2" t="s">
        <v>176</v>
      </c>
      <c r="B85" s="3" t="s">
        <v>177</v>
      </c>
      <c r="C85" s="2" t="s">
        <v>15</v>
      </c>
      <c r="D85" s="4">
        <v>0</v>
      </c>
      <c r="E85" s="4">
        <v>20000</v>
      </c>
      <c r="F85" s="4">
        <f t="shared" si="3"/>
        <v>20000</v>
      </c>
      <c r="G85" s="5">
        <f t="shared" si="4"/>
        <v>20000</v>
      </c>
      <c r="H85" s="6" t="str">
        <f t="shared" si="5"/>
        <v/>
      </c>
    </row>
    <row r="86" spans="1:8" ht="20.100000000000001" customHeight="1" x14ac:dyDescent="0.25">
      <c r="A86" s="7" t="s">
        <v>178</v>
      </c>
      <c r="B86" s="8" t="s">
        <v>179</v>
      </c>
      <c r="C86" s="7" t="s">
        <v>15</v>
      </c>
      <c r="D86" s="9">
        <v>20000</v>
      </c>
      <c r="E86" s="9">
        <v>0</v>
      </c>
      <c r="F86" s="9">
        <f t="shared" si="3"/>
        <v>20000</v>
      </c>
      <c r="G86" s="10">
        <f t="shared" si="4"/>
        <v>-20000</v>
      </c>
      <c r="H86" s="11">
        <f t="shared" si="5"/>
        <v>-1</v>
      </c>
    </row>
    <row r="87" spans="1:8" ht="20.100000000000001" customHeight="1" x14ac:dyDescent="0.25">
      <c r="A87" s="2" t="s">
        <v>180</v>
      </c>
      <c r="B87" s="3" t="s">
        <v>181</v>
      </c>
      <c r="C87" s="2" t="s">
        <v>15</v>
      </c>
      <c r="D87" s="4">
        <v>20000</v>
      </c>
      <c r="E87" s="4">
        <v>0</v>
      </c>
      <c r="F87" s="4">
        <f t="shared" si="3"/>
        <v>20000</v>
      </c>
      <c r="G87" s="5">
        <f t="shared" si="4"/>
        <v>-20000</v>
      </c>
      <c r="H87" s="6">
        <f t="shared" si="5"/>
        <v>-1</v>
      </c>
    </row>
    <row r="88" spans="1:8" ht="20.100000000000001" customHeight="1" x14ac:dyDescent="0.25">
      <c r="A88" s="7" t="s">
        <v>182</v>
      </c>
      <c r="B88" s="8" t="s">
        <v>183</v>
      </c>
      <c r="C88" s="7" t="s">
        <v>23</v>
      </c>
      <c r="D88" s="9">
        <v>10000</v>
      </c>
      <c r="E88" s="9">
        <v>10000</v>
      </c>
      <c r="F88" s="9">
        <f t="shared" si="3"/>
        <v>20000</v>
      </c>
      <c r="G88" s="10">
        <f t="shared" si="4"/>
        <v>0</v>
      </c>
      <c r="H88" s="11">
        <f t="shared" si="5"/>
        <v>0</v>
      </c>
    </row>
    <row r="89" spans="1:8" ht="20.100000000000001" customHeight="1" x14ac:dyDescent="0.25">
      <c r="A89" s="2" t="s">
        <v>184</v>
      </c>
      <c r="B89" s="3" t="s">
        <v>185</v>
      </c>
      <c r="C89" s="2" t="s">
        <v>15</v>
      </c>
      <c r="D89" s="4">
        <v>20000</v>
      </c>
      <c r="E89" s="4">
        <v>0</v>
      </c>
      <c r="F89" s="4">
        <f t="shared" si="3"/>
        <v>20000</v>
      </c>
      <c r="G89" s="5">
        <f t="shared" si="4"/>
        <v>-20000</v>
      </c>
      <c r="H89" s="6">
        <f t="shared" si="5"/>
        <v>-1</v>
      </c>
    </row>
    <row r="90" spans="1:8" ht="20.100000000000001" customHeight="1" x14ac:dyDescent="0.25">
      <c r="A90" s="7" t="s">
        <v>186</v>
      </c>
      <c r="B90" s="8" t="s">
        <v>187</v>
      </c>
      <c r="C90" s="7" t="s">
        <v>31</v>
      </c>
      <c r="D90" s="9">
        <v>8000</v>
      </c>
      <c r="E90" s="9">
        <v>11370</v>
      </c>
      <c r="F90" s="9">
        <f t="shared" si="3"/>
        <v>19370</v>
      </c>
      <c r="G90" s="10">
        <f t="shared" si="4"/>
        <v>3370</v>
      </c>
      <c r="H90" s="11">
        <f t="shared" si="5"/>
        <v>0.42125000000000001</v>
      </c>
    </row>
    <row r="91" spans="1:8" ht="20.100000000000001" customHeight="1" x14ac:dyDescent="0.25">
      <c r="A91" s="2" t="s">
        <v>188</v>
      </c>
      <c r="B91" s="3" t="s">
        <v>189</v>
      </c>
      <c r="C91" s="2" t="s">
        <v>190</v>
      </c>
      <c r="D91" s="4">
        <v>16850</v>
      </c>
      <c r="E91" s="4">
        <v>2000</v>
      </c>
      <c r="F91" s="4">
        <f t="shared" si="3"/>
        <v>18850</v>
      </c>
      <c r="G91" s="5">
        <f t="shared" si="4"/>
        <v>-14850</v>
      </c>
      <c r="H91" s="6">
        <f t="shared" si="5"/>
        <v>-0.88130563798219586</v>
      </c>
    </row>
    <row r="92" spans="1:8" ht="20.100000000000001" customHeight="1" x14ac:dyDescent="0.25">
      <c r="A92" s="7" t="s">
        <v>191</v>
      </c>
      <c r="B92" s="8" t="s">
        <v>192</v>
      </c>
      <c r="C92" s="7" t="s">
        <v>15</v>
      </c>
      <c r="D92" s="9">
        <v>9000</v>
      </c>
      <c r="E92" s="9">
        <v>9500</v>
      </c>
      <c r="F92" s="9">
        <f t="shared" si="3"/>
        <v>18500</v>
      </c>
      <c r="G92" s="10">
        <f t="shared" si="4"/>
        <v>500</v>
      </c>
      <c r="H92" s="11">
        <f t="shared" si="5"/>
        <v>5.5555555555555552E-2</v>
      </c>
    </row>
    <row r="93" spans="1:8" ht="20.100000000000001" customHeight="1" x14ac:dyDescent="0.25">
      <c r="A93" s="2" t="s">
        <v>193</v>
      </c>
      <c r="B93" s="3" t="s">
        <v>194</v>
      </c>
      <c r="C93" s="2" t="s">
        <v>15</v>
      </c>
      <c r="D93" s="4">
        <v>15000</v>
      </c>
      <c r="E93" s="4">
        <v>3000</v>
      </c>
      <c r="F93" s="4">
        <f t="shared" si="3"/>
        <v>18000</v>
      </c>
      <c r="G93" s="5">
        <f t="shared" si="4"/>
        <v>-12000</v>
      </c>
      <c r="H93" s="6">
        <f t="shared" si="5"/>
        <v>-0.8</v>
      </c>
    </row>
    <row r="94" spans="1:8" ht="20.100000000000001" customHeight="1" x14ac:dyDescent="0.25">
      <c r="A94" s="7" t="s">
        <v>195</v>
      </c>
      <c r="B94" s="8" t="s">
        <v>196</v>
      </c>
      <c r="C94" s="7" t="s">
        <v>15</v>
      </c>
      <c r="D94" s="9">
        <v>15000</v>
      </c>
      <c r="E94" s="9">
        <v>3000</v>
      </c>
      <c r="F94" s="9">
        <f t="shared" si="3"/>
        <v>18000</v>
      </c>
      <c r="G94" s="10">
        <f t="shared" si="4"/>
        <v>-12000</v>
      </c>
      <c r="H94" s="11">
        <f t="shared" si="5"/>
        <v>-0.8</v>
      </c>
    </row>
    <row r="95" spans="1:8" ht="20.100000000000001" customHeight="1" x14ac:dyDescent="0.25">
      <c r="A95" s="2" t="s">
        <v>197</v>
      </c>
      <c r="B95" s="3" t="s">
        <v>198</v>
      </c>
      <c r="C95" s="2" t="s">
        <v>190</v>
      </c>
      <c r="D95" s="4">
        <v>5600</v>
      </c>
      <c r="E95" s="4">
        <v>12340</v>
      </c>
      <c r="F95" s="4">
        <f t="shared" si="3"/>
        <v>17940</v>
      </c>
      <c r="G95" s="5">
        <f t="shared" si="4"/>
        <v>6740</v>
      </c>
      <c r="H95" s="6">
        <f t="shared" si="5"/>
        <v>1.2035714285714285</v>
      </c>
    </row>
    <row r="96" spans="1:8" ht="20.100000000000001" customHeight="1" x14ac:dyDescent="0.25">
      <c r="A96" s="7" t="s">
        <v>199</v>
      </c>
      <c r="B96" s="8" t="s">
        <v>200</v>
      </c>
      <c r="C96" s="7" t="s">
        <v>15</v>
      </c>
      <c r="D96" s="9">
        <v>13500</v>
      </c>
      <c r="E96" s="9">
        <v>4000</v>
      </c>
      <c r="F96" s="9">
        <f t="shared" si="3"/>
        <v>17500</v>
      </c>
      <c r="G96" s="10">
        <f t="shared" si="4"/>
        <v>-9500</v>
      </c>
      <c r="H96" s="11">
        <f t="shared" si="5"/>
        <v>-0.70370370370370372</v>
      </c>
    </row>
    <row r="97" spans="1:8" ht="20.100000000000001" customHeight="1" x14ac:dyDescent="0.25">
      <c r="A97" s="2" t="s">
        <v>201</v>
      </c>
      <c r="B97" s="3" t="s">
        <v>202</v>
      </c>
      <c r="C97" s="2" t="s">
        <v>23</v>
      </c>
      <c r="D97" s="4">
        <v>9025</v>
      </c>
      <c r="E97" s="4">
        <v>8167</v>
      </c>
      <c r="F97" s="4">
        <f t="shared" si="3"/>
        <v>17192</v>
      </c>
      <c r="G97" s="5">
        <f t="shared" si="4"/>
        <v>-858</v>
      </c>
      <c r="H97" s="6">
        <f t="shared" si="5"/>
        <v>-9.5069252077562325E-2</v>
      </c>
    </row>
    <row r="98" spans="1:8" ht="20.100000000000001" customHeight="1" x14ac:dyDescent="0.25">
      <c r="A98" s="7" t="s">
        <v>203</v>
      </c>
      <c r="B98" s="8" t="s">
        <v>204</v>
      </c>
      <c r="C98" s="7" t="s">
        <v>15</v>
      </c>
      <c r="D98" s="9">
        <v>11000</v>
      </c>
      <c r="E98" s="9">
        <v>6000</v>
      </c>
      <c r="F98" s="9">
        <f t="shared" si="3"/>
        <v>17000</v>
      </c>
      <c r="G98" s="10">
        <f t="shared" si="4"/>
        <v>-5000</v>
      </c>
      <c r="H98" s="11">
        <f t="shared" si="5"/>
        <v>-0.45454545454545453</v>
      </c>
    </row>
    <row r="99" spans="1:8" ht="20.100000000000001" customHeight="1" x14ac:dyDescent="0.25">
      <c r="A99" s="2" t="s">
        <v>205</v>
      </c>
      <c r="B99" s="3" t="s">
        <v>206</v>
      </c>
      <c r="C99" s="2" t="s">
        <v>15</v>
      </c>
      <c r="D99" s="4">
        <v>4000</v>
      </c>
      <c r="E99" s="4">
        <v>12000</v>
      </c>
      <c r="F99" s="4">
        <f t="shared" si="3"/>
        <v>16000</v>
      </c>
      <c r="G99" s="5">
        <f t="shared" si="4"/>
        <v>8000</v>
      </c>
      <c r="H99" s="6">
        <f t="shared" si="5"/>
        <v>2</v>
      </c>
    </row>
    <row r="100" spans="1:8" ht="20.100000000000001" customHeight="1" x14ac:dyDescent="0.25">
      <c r="A100" s="7" t="s">
        <v>207</v>
      </c>
      <c r="B100" s="8" t="s">
        <v>208</v>
      </c>
      <c r="C100" s="7" t="s">
        <v>15</v>
      </c>
      <c r="D100" s="9">
        <v>15000</v>
      </c>
      <c r="E100" s="9">
        <v>1000</v>
      </c>
      <c r="F100" s="9">
        <f t="shared" si="3"/>
        <v>16000</v>
      </c>
      <c r="G100" s="10">
        <f t="shared" si="4"/>
        <v>-14000</v>
      </c>
      <c r="H100" s="11">
        <f t="shared" si="5"/>
        <v>-0.93333333333333335</v>
      </c>
    </row>
    <row r="101" spans="1:8" ht="20.100000000000001" customHeight="1" x14ac:dyDescent="0.25">
      <c r="A101" s="2" t="s">
        <v>209</v>
      </c>
      <c r="B101" s="3" t="s">
        <v>210</v>
      </c>
      <c r="C101" s="2" t="s">
        <v>15</v>
      </c>
      <c r="D101" s="4">
        <v>8000</v>
      </c>
      <c r="E101" s="4">
        <v>7000</v>
      </c>
      <c r="F101" s="4">
        <f t="shared" si="3"/>
        <v>15000</v>
      </c>
      <c r="G101" s="5">
        <f t="shared" si="4"/>
        <v>-1000</v>
      </c>
      <c r="H101" s="6">
        <f t="shared" si="5"/>
        <v>-0.125</v>
      </c>
    </row>
    <row r="102" spans="1:8" ht="20.100000000000001" customHeight="1" x14ac:dyDescent="0.25">
      <c r="A102" s="7" t="s">
        <v>211</v>
      </c>
      <c r="B102" s="8" t="s">
        <v>212</v>
      </c>
      <c r="C102" s="7" t="s">
        <v>15</v>
      </c>
      <c r="D102" s="9">
        <v>0</v>
      </c>
      <c r="E102" s="9">
        <v>15000</v>
      </c>
      <c r="F102" s="9">
        <f t="shared" si="3"/>
        <v>15000</v>
      </c>
      <c r="G102" s="10">
        <f t="shared" si="4"/>
        <v>15000</v>
      </c>
      <c r="H102" s="11" t="str">
        <f t="shared" si="5"/>
        <v/>
      </c>
    </row>
    <row r="103" spans="1:8" ht="20.100000000000001" customHeight="1" x14ac:dyDescent="0.25">
      <c r="A103" s="2" t="s">
        <v>213</v>
      </c>
      <c r="B103" s="3" t="s">
        <v>214</v>
      </c>
      <c r="C103" s="2" t="s">
        <v>15</v>
      </c>
      <c r="D103" s="4">
        <v>15000</v>
      </c>
      <c r="E103" s="4">
        <v>0</v>
      </c>
      <c r="F103" s="4">
        <f t="shared" si="3"/>
        <v>15000</v>
      </c>
      <c r="G103" s="5">
        <f t="shared" si="4"/>
        <v>-15000</v>
      </c>
      <c r="H103" s="6">
        <f t="shared" si="5"/>
        <v>-1</v>
      </c>
    </row>
    <row r="104" spans="1:8" ht="20.100000000000001" customHeight="1" x14ac:dyDescent="0.25">
      <c r="A104" s="7" t="s">
        <v>215</v>
      </c>
      <c r="B104" s="8" t="s">
        <v>216</v>
      </c>
      <c r="C104" s="7" t="s">
        <v>15</v>
      </c>
      <c r="D104" s="9">
        <v>15000</v>
      </c>
      <c r="E104" s="9">
        <v>0</v>
      </c>
      <c r="F104" s="9">
        <f t="shared" si="3"/>
        <v>15000</v>
      </c>
      <c r="G104" s="10">
        <f t="shared" si="4"/>
        <v>-15000</v>
      </c>
      <c r="H104" s="11">
        <f t="shared" si="5"/>
        <v>-1</v>
      </c>
    </row>
    <row r="105" spans="1:8" ht="20.100000000000001" customHeight="1" x14ac:dyDescent="0.25">
      <c r="A105" s="2" t="s">
        <v>217</v>
      </c>
      <c r="B105" s="3" t="s">
        <v>218</v>
      </c>
      <c r="C105" s="2" t="s">
        <v>15</v>
      </c>
      <c r="D105" s="4">
        <v>15000</v>
      </c>
      <c r="E105" s="4">
        <v>0</v>
      </c>
      <c r="F105" s="4">
        <f t="shared" si="3"/>
        <v>15000</v>
      </c>
      <c r="G105" s="5">
        <f t="shared" si="4"/>
        <v>-15000</v>
      </c>
      <c r="H105" s="6">
        <f t="shared" si="5"/>
        <v>-1</v>
      </c>
    </row>
    <row r="106" spans="1:8" ht="20.100000000000001" customHeight="1" x14ac:dyDescent="0.25">
      <c r="A106" s="7" t="s">
        <v>219</v>
      </c>
      <c r="B106" s="8" t="s">
        <v>220</v>
      </c>
      <c r="C106" s="7" t="s">
        <v>15</v>
      </c>
      <c r="D106" s="9">
        <v>15000</v>
      </c>
      <c r="E106" s="9">
        <v>0</v>
      </c>
      <c r="F106" s="9">
        <f t="shared" si="3"/>
        <v>15000</v>
      </c>
      <c r="G106" s="10">
        <f t="shared" si="4"/>
        <v>-15000</v>
      </c>
      <c r="H106" s="11">
        <f t="shared" si="5"/>
        <v>-1</v>
      </c>
    </row>
    <row r="107" spans="1:8" ht="20.100000000000001" customHeight="1" x14ac:dyDescent="0.25">
      <c r="A107" s="2" t="s">
        <v>221</v>
      </c>
      <c r="B107" s="3" t="s">
        <v>222</v>
      </c>
      <c r="C107" s="2" t="s">
        <v>15</v>
      </c>
      <c r="D107" s="4">
        <v>2500</v>
      </c>
      <c r="E107" s="4">
        <v>10500</v>
      </c>
      <c r="F107" s="4">
        <f t="shared" si="3"/>
        <v>13000</v>
      </c>
      <c r="G107" s="5">
        <f t="shared" si="4"/>
        <v>8000</v>
      </c>
      <c r="H107" s="6">
        <f t="shared" si="5"/>
        <v>3.2</v>
      </c>
    </row>
    <row r="108" spans="1:8" ht="20.100000000000001" customHeight="1" x14ac:dyDescent="0.25">
      <c r="A108" s="7" t="s">
        <v>223</v>
      </c>
      <c r="B108" s="8" t="s">
        <v>224</v>
      </c>
      <c r="C108" s="7" t="s">
        <v>15</v>
      </c>
      <c r="D108" s="9">
        <v>7000</v>
      </c>
      <c r="E108" s="9">
        <v>6000</v>
      </c>
      <c r="F108" s="9">
        <f t="shared" si="3"/>
        <v>13000</v>
      </c>
      <c r="G108" s="10">
        <f t="shared" si="4"/>
        <v>-1000</v>
      </c>
      <c r="H108" s="11">
        <f t="shared" si="5"/>
        <v>-0.14285714285714285</v>
      </c>
    </row>
    <row r="109" spans="1:8" ht="20.100000000000001" customHeight="1" x14ac:dyDescent="0.25">
      <c r="A109" s="2" t="s">
        <v>225</v>
      </c>
      <c r="B109" s="3" t="s">
        <v>226</v>
      </c>
      <c r="C109" s="2" t="s">
        <v>23</v>
      </c>
      <c r="D109" s="4">
        <v>8000</v>
      </c>
      <c r="E109" s="4">
        <v>5000</v>
      </c>
      <c r="F109" s="4">
        <f t="shared" si="3"/>
        <v>13000</v>
      </c>
      <c r="G109" s="5">
        <f t="shared" si="4"/>
        <v>-3000</v>
      </c>
      <c r="H109" s="6">
        <f t="shared" si="5"/>
        <v>-0.375</v>
      </c>
    </row>
    <row r="110" spans="1:8" ht="20.100000000000001" customHeight="1" x14ac:dyDescent="0.25">
      <c r="A110" s="7" t="s">
        <v>227</v>
      </c>
      <c r="B110" s="8" t="s">
        <v>228</v>
      </c>
      <c r="C110" s="7" t="s">
        <v>15</v>
      </c>
      <c r="D110" s="9">
        <v>13000</v>
      </c>
      <c r="E110" s="9">
        <v>0</v>
      </c>
      <c r="F110" s="9">
        <f t="shared" si="3"/>
        <v>13000</v>
      </c>
      <c r="G110" s="10">
        <f t="shared" si="4"/>
        <v>-13000</v>
      </c>
      <c r="H110" s="11">
        <f t="shared" si="5"/>
        <v>-1</v>
      </c>
    </row>
    <row r="111" spans="1:8" ht="20.100000000000001" customHeight="1" x14ac:dyDescent="0.25">
      <c r="A111" s="2" t="s">
        <v>229</v>
      </c>
      <c r="B111" s="3" t="s">
        <v>230</v>
      </c>
      <c r="C111" s="2" t="s">
        <v>15</v>
      </c>
      <c r="D111" s="4">
        <v>0</v>
      </c>
      <c r="E111" s="4">
        <v>12000</v>
      </c>
      <c r="F111" s="4">
        <f t="shared" si="3"/>
        <v>12000</v>
      </c>
      <c r="G111" s="5">
        <f t="shared" si="4"/>
        <v>12000</v>
      </c>
      <c r="H111" s="6" t="str">
        <f t="shared" si="5"/>
        <v/>
      </c>
    </row>
    <row r="112" spans="1:8" ht="20.100000000000001" customHeight="1" x14ac:dyDescent="0.25">
      <c r="A112" s="7" t="s">
        <v>231</v>
      </c>
      <c r="B112" s="8" t="s">
        <v>232</v>
      </c>
      <c r="C112" s="7" t="s">
        <v>15</v>
      </c>
      <c r="D112" s="9">
        <v>10000</v>
      </c>
      <c r="E112" s="9">
        <v>2000</v>
      </c>
      <c r="F112" s="9">
        <f t="shared" si="3"/>
        <v>12000</v>
      </c>
      <c r="G112" s="10">
        <f t="shared" si="4"/>
        <v>-8000</v>
      </c>
      <c r="H112" s="11">
        <f t="shared" si="5"/>
        <v>-0.8</v>
      </c>
    </row>
    <row r="113" spans="1:8" ht="20.100000000000001" customHeight="1" x14ac:dyDescent="0.25">
      <c r="A113" s="2" t="s">
        <v>233</v>
      </c>
      <c r="B113" s="3" t="s">
        <v>234</v>
      </c>
      <c r="C113" s="2" t="s">
        <v>15</v>
      </c>
      <c r="D113" s="4">
        <v>10000</v>
      </c>
      <c r="E113" s="4">
        <v>2000</v>
      </c>
      <c r="F113" s="4">
        <f t="shared" si="3"/>
        <v>12000</v>
      </c>
      <c r="G113" s="5">
        <f t="shared" si="4"/>
        <v>-8000</v>
      </c>
      <c r="H113" s="6">
        <f t="shared" si="5"/>
        <v>-0.8</v>
      </c>
    </row>
    <row r="114" spans="1:8" ht="20.100000000000001" customHeight="1" x14ac:dyDescent="0.25">
      <c r="A114" s="7" t="s">
        <v>235</v>
      </c>
      <c r="B114" s="8" t="s">
        <v>236</v>
      </c>
      <c r="C114" s="7" t="s">
        <v>15</v>
      </c>
      <c r="D114" s="9">
        <v>0</v>
      </c>
      <c r="E114" s="9">
        <v>12000</v>
      </c>
      <c r="F114" s="9">
        <f t="shared" si="3"/>
        <v>12000</v>
      </c>
      <c r="G114" s="10">
        <f t="shared" si="4"/>
        <v>12000</v>
      </c>
      <c r="H114" s="11" t="str">
        <f t="shared" si="5"/>
        <v/>
      </c>
    </row>
    <row r="115" spans="1:8" ht="20.100000000000001" customHeight="1" x14ac:dyDescent="0.25">
      <c r="A115" s="2" t="s">
        <v>237</v>
      </c>
      <c r="B115" s="3" t="s">
        <v>238</v>
      </c>
      <c r="C115" s="2" t="s">
        <v>54</v>
      </c>
      <c r="D115" s="4">
        <v>8920</v>
      </c>
      <c r="E115" s="4">
        <v>3000</v>
      </c>
      <c r="F115" s="4">
        <f t="shared" si="3"/>
        <v>11920</v>
      </c>
      <c r="G115" s="5">
        <f t="shared" si="4"/>
        <v>-5920</v>
      </c>
      <c r="H115" s="6">
        <f t="shared" si="5"/>
        <v>-0.66367713004484308</v>
      </c>
    </row>
    <row r="116" spans="1:8" ht="20.100000000000001" customHeight="1" x14ac:dyDescent="0.25">
      <c r="A116" s="7" t="s">
        <v>239</v>
      </c>
      <c r="B116" s="8" t="s">
        <v>240</v>
      </c>
      <c r="C116" s="7" t="s">
        <v>26</v>
      </c>
      <c r="D116" s="9">
        <v>1000</v>
      </c>
      <c r="E116" s="9">
        <v>10000</v>
      </c>
      <c r="F116" s="9">
        <f t="shared" si="3"/>
        <v>11000</v>
      </c>
      <c r="G116" s="10">
        <f t="shared" si="4"/>
        <v>9000</v>
      </c>
      <c r="H116" s="11">
        <f t="shared" si="5"/>
        <v>9</v>
      </c>
    </row>
    <row r="117" spans="1:8" ht="20.100000000000001" customHeight="1" x14ac:dyDescent="0.25">
      <c r="A117" s="2" t="s">
        <v>241</v>
      </c>
      <c r="B117" s="3" t="s">
        <v>242</v>
      </c>
      <c r="C117" s="2" t="s">
        <v>15</v>
      </c>
      <c r="D117" s="4">
        <v>3000</v>
      </c>
      <c r="E117" s="4">
        <v>7500</v>
      </c>
      <c r="F117" s="4">
        <f t="shared" si="3"/>
        <v>10500</v>
      </c>
      <c r="G117" s="5">
        <f t="shared" si="4"/>
        <v>4500</v>
      </c>
      <c r="H117" s="6">
        <f t="shared" si="5"/>
        <v>1.5</v>
      </c>
    </row>
    <row r="118" spans="1:8" ht="20.100000000000001" customHeight="1" x14ac:dyDescent="0.25">
      <c r="A118" s="7" t="s">
        <v>243</v>
      </c>
      <c r="B118" s="8" t="s">
        <v>244</v>
      </c>
      <c r="C118" s="7" t="s">
        <v>15</v>
      </c>
      <c r="D118" s="9">
        <v>0</v>
      </c>
      <c r="E118" s="9">
        <v>10000</v>
      </c>
      <c r="F118" s="9">
        <f t="shared" si="3"/>
        <v>10000</v>
      </c>
      <c r="G118" s="10">
        <f t="shared" si="4"/>
        <v>10000</v>
      </c>
      <c r="H118" s="11" t="str">
        <f t="shared" si="5"/>
        <v/>
      </c>
    </row>
    <row r="119" spans="1:8" ht="20.100000000000001" customHeight="1" x14ac:dyDescent="0.25">
      <c r="A119" s="2" t="s">
        <v>245</v>
      </c>
      <c r="B119" s="3" t="s">
        <v>246</v>
      </c>
      <c r="C119" s="2" t="s">
        <v>15</v>
      </c>
      <c r="D119" s="4">
        <v>4000</v>
      </c>
      <c r="E119" s="4">
        <v>6000</v>
      </c>
      <c r="F119" s="4">
        <f t="shared" si="3"/>
        <v>10000</v>
      </c>
      <c r="G119" s="5">
        <f t="shared" si="4"/>
        <v>2000</v>
      </c>
      <c r="H119" s="6">
        <f t="shared" si="5"/>
        <v>0.5</v>
      </c>
    </row>
    <row r="120" spans="1:8" ht="20.100000000000001" customHeight="1" x14ac:dyDescent="0.25">
      <c r="A120" s="7" t="s">
        <v>247</v>
      </c>
      <c r="B120" s="8" t="s">
        <v>248</v>
      </c>
      <c r="C120" s="7" t="s">
        <v>15</v>
      </c>
      <c r="D120" s="9">
        <v>10000</v>
      </c>
      <c r="E120" s="9">
        <v>0</v>
      </c>
      <c r="F120" s="9">
        <f t="shared" si="3"/>
        <v>10000</v>
      </c>
      <c r="G120" s="10">
        <f t="shared" si="4"/>
        <v>-10000</v>
      </c>
      <c r="H120" s="11">
        <f t="shared" si="5"/>
        <v>-1</v>
      </c>
    </row>
    <row r="121" spans="1:8" ht="20.100000000000001" customHeight="1" x14ac:dyDescent="0.25">
      <c r="A121" s="2" t="s">
        <v>249</v>
      </c>
      <c r="B121" s="3" t="s">
        <v>250</v>
      </c>
      <c r="C121" s="2" t="s">
        <v>15</v>
      </c>
      <c r="D121" s="4">
        <v>10000</v>
      </c>
      <c r="E121" s="4">
        <v>0</v>
      </c>
      <c r="F121" s="4">
        <f t="shared" si="3"/>
        <v>10000</v>
      </c>
      <c r="G121" s="5">
        <f t="shared" si="4"/>
        <v>-10000</v>
      </c>
      <c r="H121" s="6">
        <f t="shared" si="5"/>
        <v>-1</v>
      </c>
    </row>
    <row r="122" spans="1:8" ht="20.100000000000001" customHeight="1" x14ac:dyDescent="0.25">
      <c r="A122" s="7" t="s">
        <v>251</v>
      </c>
      <c r="B122" s="8" t="s">
        <v>252</v>
      </c>
      <c r="C122" s="7" t="s">
        <v>15</v>
      </c>
      <c r="D122" s="9">
        <v>10000</v>
      </c>
      <c r="E122" s="9">
        <v>0</v>
      </c>
      <c r="F122" s="9">
        <f t="shared" si="3"/>
        <v>10000</v>
      </c>
      <c r="G122" s="10">
        <f t="shared" si="4"/>
        <v>-10000</v>
      </c>
      <c r="H122" s="11">
        <f t="shared" si="5"/>
        <v>-1</v>
      </c>
    </row>
    <row r="123" spans="1:8" ht="20.100000000000001" customHeight="1" x14ac:dyDescent="0.25">
      <c r="A123" s="2" t="s">
        <v>253</v>
      </c>
      <c r="B123" s="3" t="s">
        <v>254</v>
      </c>
      <c r="C123" s="2" t="s">
        <v>15</v>
      </c>
      <c r="D123" s="4">
        <v>10000</v>
      </c>
      <c r="E123" s="4">
        <v>0</v>
      </c>
      <c r="F123" s="4">
        <f t="shared" si="3"/>
        <v>10000</v>
      </c>
      <c r="G123" s="5">
        <f t="shared" si="4"/>
        <v>-10000</v>
      </c>
      <c r="H123" s="6">
        <f t="shared" si="5"/>
        <v>-1</v>
      </c>
    </row>
    <row r="124" spans="1:8" ht="20.100000000000001" customHeight="1" x14ac:dyDescent="0.25">
      <c r="A124" s="7" t="s">
        <v>255</v>
      </c>
      <c r="B124" s="8" t="s">
        <v>256</v>
      </c>
      <c r="C124" s="7" t="s">
        <v>15</v>
      </c>
      <c r="D124" s="9">
        <v>10000</v>
      </c>
      <c r="E124" s="9">
        <v>0</v>
      </c>
      <c r="F124" s="9">
        <f t="shared" si="3"/>
        <v>10000</v>
      </c>
      <c r="G124" s="10">
        <f t="shared" si="4"/>
        <v>-10000</v>
      </c>
      <c r="H124" s="11">
        <f t="shared" si="5"/>
        <v>-1</v>
      </c>
    </row>
    <row r="125" spans="1:8" ht="20.100000000000001" customHeight="1" x14ac:dyDescent="0.25">
      <c r="A125" s="2" t="s">
        <v>257</v>
      </c>
      <c r="B125" s="3" t="s">
        <v>258</v>
      </c>
      <c r="C125" s="2" t="s">
        <v>15</v>
      </c>
      <c r="D125" s="4">
        <v>10000</v>
      </c>
      <c r="E125" s="4">
        <v>0</v>
      </c>
      <c r="F125" s="4">
        <f t="shared" si="3"/>
        <v>10000</v>
      </c>
      <c r="G125" s="5">
        <f t="shared" si="4"/>
        <v>-10000</v>
      </c>
      <c r="H125" s="6">
        <f t="shared" si="5"/>
        <v>-1</v>
      </c>
    </row>
    <row r="126" spans="1:8" ht="20.100000000000001" customHeight="1" x14ac:dyDescent="0.25">
      <c r="A126" s="7" t="s">
        <v>259</v>
      </c>
      <c r="B126" s="8" t="s">
        <v>260</v>
      </c>
      <c r="C126" s="7" t="s">
        <v>15</v>
      </c>
      <c r="D126" s="9">
        <v>9500</v>
      </c>
      <c r="E126" s="9">
        <v>0</v>
      </c>
      <c r="F126" s="9">
        <f t="shared" si="3"/>
        <v>9500</v>
      </c>
      <c r="G126" s="10">
        <f t="shared" si="4"/>
        <v>-9500</v>
      </c>
      <c r="H126" s="11">
        <f t="shared" si="5"/>
        <v>-1</v>
      </c>
    </row>
    <row r="127" spans="1:8" ht="20.100000000000001" customHeight="1" x14ac:dyDescent="0.25">
      <c r="A127" s="2" t="s">
        <v>261</v>
      </c>
      <c r="B127" s="3" t="s">
        <v>262</v>
      </c>
      <c r="C127" s="2" t="s">
        <v>15</v>
      </c>
      <c r="D127" s="4">
        <v>7000</v>
      </c>
      <c r="E127" s="4">
        <v>2000</v>
      </c>
      <c r="F127" s="4">
        <f t="shared" si="3"/>
        <v>9000</v>
      </c>
      <c r="G127" s="5">
        <f t="shared" si="4"/>
        <v>-5000</v>
      </c>
      <c r="H127" s="6">
        <f t="shared" si="5"/>
        <v>-0.7142857142857143</v>
      </c>
    </row>
    <row r="128" spans="1:8" ht="20.100000000000001" customHeight="1" x14ac:dyDescent="0.25">
      <c r="A128" s="7" t="s">
        <v>263</v>
      </c>
      <c r="B128" s="8" t="s">
        <v>264</v>
      </c>
      <c r="C128" s="7" t="s">
        <v>26</v>
      </c>
      <c r="D128" s="9">
        <v>5200</v>
      </c>
      <c r="E128" s="9">
        <v>2000</v>
      </c>
      <c r="F128" s="9">
        <f t="shared" si="3"/>
        <v>7200</v>
      </c>
      <c r="G128" s="10">
        <f t="shared" si="4"/>
        <v>-3200</v>
      </c>
      <c r="H128" s="11">
        <f t="shared" si="5"/>
        <v>-0.61538461538461542</v>
      </c>
    </row>
    <row r="129" spans="1:8" ht="20.100000000000001" customHeight="1" x14ac:dyDescent="0.25">
      <c r="A129" s="2" t="s">
        <v>265</v>
      </c>
      <c r="B129" s="3" t="s">
        <v>266</v>
      </c>
      <c r="C129" s="2" t="s">
        <v>15</v>
      </c>
      <c r="D129" s="4">
        <v>0</v>
      </c>
      <c r="E129" s="4">
        <v>7000</v>
      </c>
      <c r="F129" s="4">
        <f t="shared" si="3"/>
        <v>7000</v>
      </c>
      <c r="G129" s="5">
        <f t="shared" si="4"/>
        <v>7000</v>
      </c>
      <c r="H129" s="6" t="str">
        <f t="shared" si="5"/>
        <v/>
      </c>
    </row>
    <row r="130" spans="1:8" ht="20.100000000000001" customHeight="1" x14ac:dyDescent="0.25">
      <c r="A130" s="7" t="s">
        <v>267</v>
      </c>
      <c r="B130" s="8" t="s">
        <v>268</v>
      </c>
      <c r="C130" s="7" t="s">
        <v>15</v>
      </c>
      <c r="D130" s="9">
        <v>7000</v>
      </c>
      <c r="E130" s="9">
        <v>0</v>
      </c>
      <c r="F130" s="9">
        <f t="shared" si="3"/>
        <v>7000</v>
      </c>
      <c r="G130" s="10">
        <f t="shared" si="4"/>
        <v>-7000</v>
      </c>
      <c r="H130" s="11">
        <f t="shared" si="5"/>
        <v>-1</v>
      </c>
    </row>
    <row r="131" spans="1:8" ht="20.100000000000001" customHeight="1" x14ac:dyDescent="0.25">
      <c r="A131" s="2" t="s">
        <v>269</v>
      </c>
      <c r="B131" s="3" t="s">
        <v>270</v>
      </c>
      <c r="C131" s="2" t="s">
        <v>15</v>
      </c>
      <c r="D131" s="4">
        <v>7000</v>
      </c>
      <c r="E131" s="4">
        <v>0</v>
      </c>
      <c r="F131" s="4">
        <f t="shared" si="3"/>
        <v>7000</v>
      </c>
      <c r="G131" s="5">
        <f t="shared" si="4"/>
        <v>-7000</v>
      </c>
      <c r="H131" s="6">
        <f t="shared" si="5"/>
        <v>-1</v>
      </c>
    </row>
    <row r="132" spans="1:8" ht="20.100000000000001" customHeight="1" x14ac:dyDescent="0.25">
      <c r="A132" s="7" t="s">
        <v>271</v>
      </c>
      <c r="B132" s="8" t="s">
        <v>272</v>
      </c>
      <c r="C132" s="7" t="s">
        <v>15</v>
      </c>
      <c r="D132" s="9">
        <v>7000</v>
      </c>
      <c r="E132" s="9">
        <v>0</v>
      </c>
      <c r="F132" s="9">
        <f t="shared" si="3"/>
        <v>7000</v>
      </c>
      <c r="G132" s="10">
        <f t="shared" si="4"/>
        <v>-7000</v>
      </c>
      <c r="H132" s="11">
        <f t="shared" si="5"/>
        <v>-1</v>
      </c>
    </row>
    <row r="133" spans="1:8" ht="20.100000000000001" customHeight="1" x14ac:dyDescent="0.25">
      <c r="A133" s="2" t="s">
        <v>273</v>
      </c>
      <c r="B133" s="3" t="s">
        <v>274</v>
      </c>
      <c r="C133" s="2" t="s">
        <v>275</v>
      </c>
      <c r="D133" s="4">
        <v>0</v>
      </c>
      <c r="E133" s="4">
        <v>6270</v>
      </c>
      <c r="F133" s="4">
        <f t="shared" ref="F133:F196" si="6">D133+E133</f>
        <v>6270</v>
      </c>
      <c r="G133" s="5">
        <f t="shared" ref="G133:G196" si="7">E133-D133</f>
        <v>6270</v>
      </c>
      <c r="H133" s="6" t="str">
        <f t="shared" ref="H133:H196" si="8">IF(D133&gt;0, (E133-D133)/D133, "")</f>
        <v/>
      </c>
    </row>
    <row r="134" spans="1:8" ht="20.100000000000001" customHeight="1" x14ac:dyDescent="0.25">
      <c r="A134" s="7" t="s">
        <v>276</v>
      </c>
      <c r="B134" s="8" t="s">
        <v>277</v>
      </c>
      <c r="C134" s="7" t="s">
        <v>23</v>
      </c>
      <c r="D134" s="9">
        <v>5010</v>
      </c>
      <c r="E134" s="9">
        <v>1000</v>
      </c>
      <c r="F134" s="9">
        <f t="shared" si="6"/>
        <v>6010</v>
      </c>
      <c r="G134" s="10">
        <f t="shared" si="7"/>
        <v>-4010</v>
      </c>
      <c r="H134" s="11">
        <f t="shared" si="8"/>
        <v>-0.80039920159680644</v>
      </c>
    </row>
    <row r="135" spans="1:8" ht="20.100000000000001" customHeight="1" x14ac:dyDescent="0.25">
      <c r="A135" s="2" t="s">
        <v>278</v>
      </c>
      <c r="B135" s="3" t="s">
        <v>279</v>
      </c>
      <c r="C135" s="2" t="s">
        <v>23</v>
      </c>
      <c r="D135" s="4">
        <v>5000</v>
      </c>
      <c r="E135" s="4">
        <v>1000</v>
      </c>
      <c r="F135" s="4">
        <f t="shared" si="6"/>
        <v>6000</v>
      </c>
      <c r="G135" s="5">
        <f t="shared" si="7"/>
        <v>-4000</v>
      </c>
      <c r="H135" s="6">
        <f t="shared" si="8"/>
        <v>-0.8</v>
      </c>
    </row>
    <row r="136" spans="1:8" ht="20.100000000000001" customHeight="1" x14ac:dyDescent="0.25">
      <c r="A136" s="7" t="s">
        <v>280</v>
      </c>
      <c r="B136" s="8" t="s">
        <v>281</v>
      </c>
      <c r="C136" s="7" t="s">
        <v>15</v>
      </c>
      <c r="D136" s="9">
        <v>0</v>
      </c>
      <c r="E136" s="9">
        <v>6000</v>
      </c>
      <c r="F136" s="9">
        <f t="shared" si="6"/>
        <v>6000</v>
      </c>
      <c r="G136" s="10">
        <f t="shared" si="7"/>
        <v>6000</v>
      </c>
      <c r="H136" s="11" t="str">
        <f t="shared" si="8"/>
        <v/>
      </c>
    </row>
    <row r="137" spans="1:8" ht="20.100000000000001" customHeight="1" x14ac:dyDescent="0.25">
      <c r="A137" s="2" t="s">
        <v>282</v>
      </c>
      <c r="B137" s="3" t="s">
        <v>283</v>
      </c>
      <c r="C137" s="2" t="s">
        <v>15</v>
      </c>
      <c r="D137" s="4">
        <v>5000</v>
      </c>
      <c r="E137" s="4">
        <v>1000</v>
      </c>
      <c r="F137" s="4">
        <f t="shared" si="6"/>
        <v>6000</v>
      </c>
      <c r="G137" s="5">
        <f t="shared" si="7"/>
        <v>-4000</v>
      </c>
      <c r="H137" s="6">
        <f t="shared" si="8"/>
        <v>-0.8</v>
      </c>
    </row>
    <row r="138" spans="1:8" ht="20.100000000000001" customHeight="1" x14ac:dyDescent="0.25">
      <c r="A138" s="7" t="s">
        <v>284</v>
      </c>
      <c r="B138" s="8" t="s">
        <v>285</v>
      </c>
      <c r="C138" s="7" t="s">
        <v>15</v>
      </c>
      <c r="D138" s="9">
        <v>0</v>
      </c>
      <c r="E138" s="9">
        <v>5000</v>
      </c>
      <c r="F138" s="9">
        <f t="shared" si="6"/>
        <v>5000</v>
      </c>
      <c r="G138" s="10">
        <f t="shared" si="7"/>
        <v>5000</v>
      </c>
      <c r="H138" s="11" t="str">
        <f t="shared" si="8"/>
        <v/>
      </c>
    </row>
    <row r="139" spans="1:8" ht="20.100000000000001" customHeight="1" x14ac:dyDescent="0.25">
      <c r="A139" s="2" t="s">
        <v>286</v>
      </c>
      <c r="B139" s="3" t="s">
        <v>287</v>
      </c>
      <c r="C139" s="2" t="s">
        <v>15</v>
      </c>
      <c r="D139" s="4">
        <v>4000</v>
      </c>
      <c r="E139" s="4">
        <v>1000</v>
      </c>
      <c r="F139" s="4">
        <f t="shared" si="6"/>
        <v>5000</v>
      </c>
      <c r="G139" s="5">
        <f t="shared" si="7"/>
        <v>-3000</v>
      </c>
      <c r="H139" s="6">
        <f t="shared" si="8"/>
        <v>-0.75</v>
      </c>
    </row>
    <row r="140" spans="1:8" ht="20.100000000000001" customHeight="1" x14ac:dyDescent="0.25">
      <c r="A140" s="7" t="s">
        <v>288</v>
      </c>
      <c r="B140" s="8" t="s">
        <v>289</v>
      </c>
      <c r="C140" s="7" t="s">
        <v>15</v>
      </c>
      <c r="D140" s="9">
        <v>5000</v>
      </c>
      <c r="E140" s="9">
        <v>0</v>
      </c>
      <c r="F140" s="9">
        <f t="shared" si="6"/>
        <v>5000</v>
      </c>
      <c r="G140" s="10">
        <f t="shared" si="7"/>
        <v>-5000</v>
      </c>
      <c r="H140" s="11">
        <f t="shared" si="8"/>
        <v>-1</v>
      </c>
    </row>
    <row r="141" spans="1:8" ht="20.100000000000001" customHeight="1" x14ac:dyDescent="0.25">
      <c r="A141" s="2" t="s">
        <v>290</v>
      </c>
      <c r="B141" s="3" t="s">
        <v>291</v>
      </c>
      <c r="C141" s="2" t="s">
        <v>15</v>
      </c>
      <c r="D141" s="4">
        <v>5000</v>
      </c>
      <c r="E141" s="4">
        <v>0</v>
      </c>
      <c r="F141" s="4">
        <f t="shared" si="6"/>
        <v>5000</v>
      </c>
      <c r="G141" s="5">
        <f t="shared" si="7"/>
        <v>-5000</v>
      </c>
      <c r="H141" s="6">
        <f t="shared" si="8"/>
        <v>-1</v>
      </c>
    </row>
    <row r="142" spans="1:8" ht="20.100000000000001" customHeight="1" x14ac:dyDescent="0.25">
      <c r="A142" s="7" t="s">
        <v>292</v>
      </c>
      <c r="B142" s="8" t="s">
        <v>293</v>
      </c>
      <c r="C142" s="7" t="s">
        <v>15</v>
      </c>
      <c r="D142" s="9">
        <v>5000</v>
      </c>
      <c r="E142" s="9">
        <v>0</v>
      </c>
      <c r="F142" s="9">
        <f t="shared" si="6"/>
        <v>5000</v>
      </c>
      <c r="G142" s="10">
        <f t="shared" si="7"/>
        <v>-5000</v>
      </c>
      <c r="H142" s="11">
        <f t="shared" si="8"/>
        <v>-1</v>
      </c>
    </row>
    <row r="143" spans="1:8" ht="20.100000000000001" customHeight="1" x14ac:dyDescent="0.25">
      <c r="A143" s="2" t="s">
        <v>294</v>
      </c>
      <c r="B143" s="3" t="s">
        <v>295</v>
      </c>
      <c r="C143" s="2" t="s">
        <v>15</v>
      </c>
      <c r="D143" s="4">
        <v>5000</v>
      </c>
      <c r="E143" s="4">
        <v>0</v>
      </c>
      <c r="F143" s="4">
        <f t="shared" si="6"/>
        <v>5000</v>
      </c>
      <c r="G143" s="5">
        <f t="shared" si="7"/>
        <v>-5000</v>
      </c>
      <c r="H143" s="6">
        <f t="shared" si="8"/>
        <v>-1</v>
      </c>
    </row>
    <row r="144" spans="1:8" ht="20.100000000000001" customHeight="1" x14ac:dyDescent="0.25">
      <c r="A144" s="7" t="s">
        <v>296</v>
      </c>
      <c r="B144" s="8" t="s">
        <v>297</v>
      </c>
      <c r="C144" s="7" t="s">
        <v>15</v>
      </c>
      <c r="D144" s="9">
        <v>5000</v>
      </c>
      <c r="E144" s="9">
        <v>0</v>
      </c>
      <c r="F144" s="9">
        <f t="shared" si="6"/>
        <v>5000</v>
      </c>
      <c r="G144" s="10">
        <f t="shared" si="7"/>
        <v>-5000</v>
      </c>
      <c r="H144" s="11">
        <f t="shared" si="8"/>
        <v>-1</v>
      </c>
    </row>
    <row r="145" spans="1:8" ht="20.100000000000001" customHeight="1" x14ac:dyDescent="0.25">
      <c r="A145" s="2" t="s">
        <v>298</v>
      </c>
      <c r="B145" s="3" t="s">
        <v>299</v>
      </c>
      <c r="C145" s="2" t="s">
        <v>15</v>
      </c>
      <c r="D145" s="4">
        <v>4500</v>
      </c>
      <c r="E145" s="4">
        <v>0</v>
      </c>
      <c r="F145" s="4">
        <f t="shared" si="6"/>
        <v>4500</v>
      </c>
      <c r="G145" s="5">
        <f t="shared" si="7"/>
        <v>-4500</v>
      </c>
      <c r="H145" s="6">
        <f t="shared" si="8"/>
        <v>-1</v>
      </c>
    </row>
    <row r="146" spans="1:8" ht="20.100000000000001" customHeight="1" x14ac:dyDescent="0.25">
      <c r="A146" s="7" t="s">
        <v>300</v>
      </c>
      <c r="B146" s="8" t="s">
        <v>301</v>
      </c>
      <c r="C146" s="7" t="s">
        <v>15</v>
      </c>
      <c r="D146" s="9">
        <v>0</v>
      </c>
      <c r="E146" s="9">
        <v>4000</v>
      </c>
      <c r="F146" s="9">
        <f t="shared" si="6"/>
        <v>4000</v>
      </c>
      <c r="G146" s="10">
        <f t="shared" si="7"/>
        <v>4000</v>
      </c>
      <c r="H146" s="11" t="str">
        <f t="shared" si="8"/>
        <v/>
      </c>
    </row>
    <row r="147" spans="1:8" ht="20.100000000000001" customHeight="1" x14ac:dyDescent="0.25">
      <c r="A147" s="2" t="s">
        <v>302</v>
      </c>
      <c r="B147" s="3" t="s">
        <v>303</v>
      </c>
      <c r="C147" s="2" t="s">
        <v>15</v>
      </c>
      <c r="D147" s="4">
        <v>0</v>
      </c>
      <c r="E147" s="4">
        <v>4000</v>
      </c>
      <c r="F147" s="4">
        <f t="shared" si="6"/>
        <v>4000</v>
      </c>
      <c r="G147" s="5">
        <f t="shared" si="7"/>
        <v>4000</v>
      </c>
      <c r="H147" s="6" t="str">
        <f t="shared" si="8"/>
        <v/>
      </c>
    </row>
    <row r="148" spans="1:8" ht="20.100000000000001" customHeight="1" x14ac:dyDescent="0.25">
      <c r="A148" s="7" t="s">
        <v>304</v>
      </c>
      <c r="B148" s="8" t="s">
        <v>305</v>
      </c>
      <c r="C148" s="7" t="s">
        <v>15</v>
      </c>
      <c r="D148" s="9">
        <v>1000</v>
      </c>
      <c r="E148" s="9">
        <v>3000</v>
      </c>
      <c r="F148" s="9">
        <f t="shared" si="6"/>
        <v>4000</v>
      </c>
      <c r="G148" s="10">
        <f t="shared" si="7"/>
        <v>2000</v>
      </c>
      <c r="H148" s="11">
        <f t="shared" si="8"/>
        <v>2</v>
      </c>
    </row>
    <row r="149" spans="1:8" ht="20.100000000000001" customHeight="1" x14ac:dyDescent="0.25">
      <c r="A149" s="2" t="s">
        <v>306</v>
      </c>
      <c r="B149" s="3" t="s">
        <v>307</v>
      </c>
      <c r="C149" s="2" t="s">
        <v>15</v>
      </c>
      <c r="D149" s="4">
        <v>2000</v>
      </c>
      <c r="E149" s="4">
        <v>2000</v>
      </c>
      <c r="F149" s="4">
        <f t="shared" si="6"/>
        <v>4000</v>
      </c>
      <c r="G149" s="5">
        <f t="shared" si="7"/>
        <v>0</v>
      </c>
      <c r="H149" s="6">
        <f t="shared" si="8"/>
        <v>0</v>
      </c>
    </row>
    <row r="150" spans="1:8" ht="20.100000000000001" customHeight="1" x14ac:dyDescent="0.25">
      <c r="A150" s="7" t="s">
        <v>308</v>
      </c>
      <c r="B150" s="8" t="s">
        <v>309</v>
      </c>
      <c r="C150" s="7" t="s">
        <v>15</v>
      </c>
      <c r="D150" s="9">
        <v>4000</v>
      </c>
      <c r="E150" s="9">
        <v>0</v>
      </c>
      <c r="F150" s="9">
        <f t="shared" si="6"/>
        <v>4000</v>
      </c>
      <c r="G150" s="10">
        <f t="shared" si="7"/>
        <v>-4000</v>
      </c>
      <c r="H150" s="11">
        <f t="shared" si="8"/>
        <v>-1</v>
      </c>
    </row>
    <row r="151" spans="1:8" ht="20.100000000000001" customHeight="1" x14ac:dyDescent="0.25">
      <c r="A151" s="2" t="s">
        <v>310</v>
      </c>
      <c r="B151" s="3" t="s">
        <v>311</v>
      </c>
      <c r="C151" s="2" t="s">
        <v>15</v>
      </c>
      <c r="D151" s="4">
        <v>4000</v>
      </c>
      <c r="E151" s="4">
        <v>0</v>
      </c>
      <c r="F151" s="4">
        <f t="shared" si="6"/>
        <v>4000</v>
      </c>
      <c r="G151" s="5">
        <f t="shared" si="7"/>
        <v>-4000</v>
      </c>
      <c r="H151" s="6">
        <f t="shared" si="8"/>
        <v>-1</v>
      </c>
    </row>
    <row r="152" spans="1:8" ht="20.100000000000001" customHeight="1" x14ac:dyDescent="0.25">
      <c r="A152" s="7" t="s">
        <v>312</v>
      </c>
      <c r="B152" s="8" t="s">
        <v>313</v>
      </c>
      <c r="C152" s="7" t="s">
        <v>15</v>
      </c>
      <c r="D152" s="9">
        <v>4000</v>
      </c>
      <c r="E152" s="9">
        <v>0</v>
      </c>
      <c r="F152" s="9">
        <f t="shared" si="6"/>
        <v>4000</v>
      </c>
      <c r="G152" s="10">
        <f t="shared" si="7"/>
        <v>-4000</v>
      </c>
      <c r="H152" s="11">
        <f t="shared" si="8"/>
        <v>-1</v>
      </c>
    </row>
    <row r="153" spans="1:8" ht="20.100000000000001" customHeight="1" x14ac:dyDescent="0.25">
      <c r="A153" s="2" t="s">
        <v>314</v>
      </c>
      <c r="B153" s="3" t="s">
        <v>315</v>
      </c>
      <c r="C153" s="2" t="s">
        <v>190</v>
      </c>
      <c r="D153" s="4">
        <v>2160</v>
      </c>
      <c r="E153" s="4">
        <v>1500</v>
      </c>
      <c r="F153" s="4">
        <f t="shared" si="6"/>
        <v>3660</v>
      </c>
      <c r="G153" s="5">
        <f t="shared" si="7"/>
        <v>-660</v>
      </c>
      <c r="H153" s="6">
        <f t="shared" si="8"/>
        <v>-0.30555555555555558</v>
      </c>
    </row>
    <row r="154" spans="1:8" ht="20.100000000000001" customHeight="1" x14ac:dyDescent="0.25">
      <c r="A154" s="7" t="s">
        <v>316</v>
      </c>
      <c r="B154" s="8" t="s">
        <v>317</v>
      </c>
      <c r="C154" s="7" t="s">
        <v>15</v>
      </c>
      <c r="D154" s="9">
        <v>0</v>
      </c>
      <c r="E154" s="9">
        <v>3500</v>
      </c>
      <c r="F154" s="9">
        <f t="shared" si="6"/>
        <v>3500</v>
      </c>
      <c r="G154" s="10">
        <f t="shared" si="7"/>
        <v>3500</v>
      </c>
      <c r="H154" s="11" t="str">
        <f t="shared" si="8"/>
        <v/>
      </c>
    </row>
    <row r="155" spans="1:8" ht="20.100000000000001" customHeight="1" x14ac:dyDescent="0.25">
      <c r="A155" s="2" t="s">
        <v>318</v>
      </c>
      <c r="B155" s="3" t="s">
        <v>319</v>
      </c>
      <c r="C155" s="2" t="s">
        <v>15</v>
      </c>
      <c r="D155" s="4">
        <v>2500</v>
      </c>
      <c r="E155" s="4">
        <v>1000</v>
      </c>
      <c r="F155" s="4">
        <f t="shared" si="6"/>
        <v>3500</v>
      </c>
      <c r="G155" s="5">
        <f t="shared" si="7"/>
        <v>-1500</v>
      </c>
      <c r="H155" s="6">
        <f t="shared" si="8"/>
        <v>-0.6</v>
      </c>
    </row>
    <row r="156" spans="1:8" ht="20.100000000000001" customHeight="1" x14ac:dyDescent="0.25">
      <c r="A156" s="7" t="s">
        <v>320</v>
      </c>
      <c r="B156" s="8" t="s">
        <v>321</v>
      </c>
      <c r="C156" s="7" t="s">
        <v>31</v>
      </c>
      <c r="D156" s="9">
        <v>3170</v>
      </c>
      <c r="E156" s="9">
        <v>0</v>
      </c>
      <c r="F156" s="9">
        <f t="shared" si="6"/>
        <v>3170</v>
      </c>
      <c r="G156" s="10">
        <f t="shared" si="7"/>
        <v>-3170</v>
      </c>
      <c r="H156" s="11">
        <f t="shared" si="8"/>
        <v>-1</v>
      </c>
    </row>
    <row r="157" spans="1:8" ht="20.100000000000001" customHeight="1" x14ac:dyDescent="0.25">
      <c r="A157" s="2" t="s">
        <v>322</v>
      </c>
      <c r="B157" s="3" t="s">
        <v>323</v>
      </c>
      <c r="C157" s="2" t="s">
        <v>190</v>
      </c>
      <c r="D157" s="4">
        <v>2500</v>
      </c>
      <c r="E157" s="4">
        <v>600</v>
      </c>
      <c r="F157" s="4">
        <f t="shared" si="6"/>
        <v>3100</v>
      </c>
      <c r="G157" s="5">
        <f t="shared" si="7"/>
        <v>-1900</v>
      </c>
      <c r="H157" s="6">
        <f t="shared" si="8"/>
        <v>-0.76</v>
      </c>
    </row>
    <row r="158" spans="1:8" ht="20.100000000000001" customHeight="1" x14ac:dyDescent="0.25">
      <c r="A158" s="7" t="s">
        <v>324</v>
      </c>
      <c r="B158" s="8" t="s">
        <v>325</v>
      </c>
      <c r="C158" s="7" t="s">
        <v>15</v>
      </c>
      <c r="D158" s="9">
        <v>0</v>
      </c>
      <c r="E158" s="9">
        <v>3000</v>
      </c>
      <c r="F158" s="9">
        <f t="shared" si="6"/>
        <v>3000</v>
      </c>
      <c r="G158" s="10">
        <f t="shared" si="7"/>
        <v>3000</v>
      </c>
      <c r="H158" s="11" t="str">
        <f t="shared" si="8"/>
        <v/>
      </c>
    </row>
    <row r="159" spans="1:8" ht="20.100000000000001" customHeight="1" x14ac:dyDescent="0.25">
      <c r="A159" s="2" t="s">
        <v>326</v>
      </c>
      <c r="B159" s="3" t="s">
        <v>327</v>
      </c>
      <c r="C159" s="2" t="s">
        <v>15</v>
      </c>
      <c r="D159" s="4">
        <v>0</v>
      </c>
      <c r="E159" s="4">
        <v>3000</v>
      </c>
      <c r="F159" s="4">
        <f t="shared" si="6"/>
        <v>3000</v>
      </c>
      <c r="G159" s="5">
        <f t="shared" si="7"/>
        <v>3000</v>
      </c>
      <c r="H159" s="6" t="str">
        <f t="shared" si="8"/>
        <v/>
      </c>
    </row>
    <row r="160" spans="1:8" ht="20.100000000000001" customHeight="1" x14ac:dyDescent="0.25">
      <c r="A160" s="7" t="s">
        <v>328</v>
      </c>
      <c r="B160" s="8" t="s">
        <v>329</v>
      </c>
      <c r="C160" s="7" t="s">
        <v>15</v>
      </c>
      <c r="D160" s="9">
        <v>0</v>
      </c>
      <c r="E160" s="9">
        <v>3000</v>
      </c>
      <c r="F160" s="9">
        <f t="shared" si="6"/>
        <v>3000</v>
      </c>
      <c r="G160" s="10">
        <f t="shared" si="7"/>
        <v>3000</v>
      </c>
      <c r="H160" s="11" t="str">
        <f t="shared" si="8"/>
        <v/>
      </c>
    </row>
    <row r="161" spans="1:8" ht="20.100000000000001" customHeight="1" x14ac:dyDescent="0.25">
      <c r="A161" s="2" t="s">
        <v>330</v>
      </c>
      <c r="B161" s="3" t="s">
        <v>331</v>
      </c>
      <c r="C161" s="2" t="s">
        <v>15</v>
      </c>
      <c r="D161" s="4">
        <v>1000</v>
      </c>
      <c r="E161" s="4">
        <v>2000</v>
      </c>
      <c r="F161" s="4">
        <f t="shared" si="6"/>
        <v>3000</v>
      </c>
      <c r="G161" s="5">
        <f t="shared" si="7"/>
        <v>1000</v>
      </c>
      <c r="H161" s="6">
        <f t="shared" si="8"/>
        <v>1</v>
      </c>
    </row>
    <row r="162" spans="1:8" ht="20.100000000000001" customHeight="1" x14ac:dyDescent="0.25">
      <c r="A162" s="7" t="s">
        <v>332</v>
      </c>
      <c r="B162" s="8" t="s">
        <v>333</v>
      </c>
      <c r="C162" s="7" t="s">
        <v>15</v>
      </c>
      <c r="D162" s="9">
        <v>3000</v>
      </c>
      <c r="E162" s="9">
        <v>0</v>
      </c>
      <c r="F162" s="9">
        <f t="shared" si="6"/>
        <v>3000</v>
      </c>
      <c r="G162" s="10">
        <f t="shared" si="7"/>
        <v>-3000</v>
      </c>
      <c r="H162" s="11">
        <f t="shared" si="8"/>
        <v>-1</v>
      </c>
    </row>
    <row r="163" spans="1:8" ht="20.100000000000001" customHeight="1" x14ac:dyDescent="0.25">
      <c r="A163" s="2" t="s">
        <v>334</v>
      </c>
      <c r="B163" s="3" t="s">
        <v>335</v>
      </c>
      <c r="C163" s="2" t="s">
        <v>15</v>
      </c>
      <c r="D163" s="4">
        <v>3000</v>
      </c>
      <c r="E163" s="4">
        <v>0</v>
      </c>
      <c r="F163" s="4">
        <f t="shared" si="6"/>
        <v>3000</v>
      </c>
      <c r="G163" s="5">
        <f t="shared" si="7"/>
        <v>-3000</v>
      </c>
      <c r="H163" s="6">
        <f t="shared" si="8"/>
        <v>-1</v>
      </c>
    </row>
    <row r="164" spans="1:8" ht="20.100000000000001" customHeight="1" x14ac:dyDescent="0.25">
      <c r="A164" s="7" t="s">
        <v>336</v>
      </c>
      <c r="B164" s="8" t="s">
        <v>337</v>
      </c>
      <c r="C164" s="7" t="s">
        <v>15</v>
      </c>
      <c r="D164" s="9">
        <v>3000</v>
      </c>
      <c r="E164" s="9">
        <v>0</v>
      </c>
      <c r="F164" s="9">
        <f t="shared" si="6"/>
        <v>3000</v>
      </c>
      <c r="G164" s="10">
        <f t="shared" si="7"/>
        <v>-3000</v>
      </c>
      <c r="H164" s="11">
        <f t="shared" si="8"/>
        <v>-1</v>
      </c>
    </row>
    <row r="165" spans="1:8" ht="20.100000000000001" customHeight="1" x14ac:dyDescent="0.25">
      <c r="A165" s="2" t="s">
        <v>338</v>
      </c>
      <c r="B165" s="3" t="s">
        <v>339</v>
      </c>
      <c r="C165" s="2" t="s">
        <v>15</v>
      </c>
      <c r="D165" s="4">
        <v>3000</v>
      </c>
      <c r="E165" s="4">
        <v>0</v>
      </c>
      <c r="F165" s="4">
        <f t="shared" si="6"/>
        <v>3000</v>
      </c>
      <c r="G165" s="5">
        <f t="shared" si="7"/>
        <v>-3000</v>
      </c>
      <c r="H165" s="6">
        <f t="shared" si="8"/>
        <v>-1</v>
      </c>
    </row>
    <row r="166" spans="1:8" ht="20.100000000000001" customHeight="1" x14ac:dyDescent="0.25">
      <c r="A166" s="7" t="s">
        <v>340</v>
      </c>
      <c r="B166" s="8" t="s">
        <v>341</v>
      </c>
      <c r="C166" s="7" t="s">
        <v>15</v>
      </c>
      <c r="D166" s="9">
        <v>1000</v>
      </c>
      <c r="E166" s="9">
        <v>1500</v>
      </c>
      <c r="F166" s="9">
        <f t="shared" si="6"/>
        <v>2500</v>
      </c>
      <c r="G166" s="10">
        <f t="shared" si="7"/>
        <v>500</v>
      </c>
      <c r="H166" s="11">
        <f t="shared" si="8"/>
        <v>0.5</v>
      </c>
    </row>
    <row r="167" spans="1:8" ht="20.100000000000001" customHeight="1" x14ac:dyDescent="0.25">
      <c r="A167" s="2" t="s">
        <v>342</v>
      </c>
      <c r="B167" s="3" t="s">
        <v>343</v>
      </c>
      <c r="C167" s="2" t="s">
        <v>190</v>
      </c>
      <c r="D167" s="4">
        <v>0</v>
      </c>
      <c r="E167" s="4">
        <v>2060</v>
      </c>
      <c r="F167" s="4">
        <f t="shared" si="6"/>
        <v>2060</v>
      </c>
      <c r="G167" s="5">
        <f t="shared" si="7"/>
        <v>2060</v>
      </c>
      <c r="H167" s="6" t="str">
        <f t="shared" si="8"/>
        <v/>
      </c>
    </row>
    <row r="168" spans="1:8" ht="20.100000000000001" customHeight="1" x14ac:dyDescent="0.25">
      <c r="A168" s="7" t="s">
        <v>344</v>
      </c>
      <c r="B168" s="8" t="s">
        <v>345</v>
      </c>
      <c r="C168" s="7" t="s">
        <v>31</v>
      </c>
      <c r="D168" s="9">
        <v>2000</v>
      </c>
      <c r="E168" s="9">
        <v>40</v>
      </c>
      <c r="F168" s="9">
        <f t="shared" si="6"/>
        <v>2040</v>
      </c>
      <c r="G168" s="10">
        <f t="shared" si="7"/>
        <v>-1960</v>
      </c>
      <c r="H168" s="11">
        <f t="shared" si="8"/>
        <v>-0.98</v>
      </c>
    </row>
    <row r="169" spans="1:8" ht="20.100000000000001" customHeight="1" x14ac:dyDescent="0.25">
      <c r="A169" s="2" t="s">
        <v>346</v>
      </c>
      <c r="B169" s="3" t="s">
        <v>347</v>
      </c>
      <c r="C169" s="2" t="s">
        <v>15</v>
      </c>
      <c r="D169" s="4">
        <v>0</v>
      </c>
      <c r="E169" s="4">
        <v>2000</v>
      </c>
      <c r="F169" s="4">
        <f t="shared" si="6"/>
        <v>2000</v>
      </c>
      <c r="G169" s="5">
        <f t="shared" si="7"/>
        <v>2000</v>
      </c>
      <c r="H169" s="6" t="str">
        <f t="shared" si="8"/>
        <v/>
      </c>
    </row>
    <row r="170" spans="1:8" ht="20.100000000000001" customHeight="1" x14ac:dyDescent="0.25">
      <c r="A170" s="7" t="s">
        <v>348</v>
      </c>
      <c r="B170" s="8" t="s">
        <v>349</v>
      </c>
      <c r="C170" s="7" t="s">
        <v>15</v>
      </c>
      <c r="D170" s="9">
        <v>0</v>
      </c>
      <c r="E170" s="9">
        <v>2000</v>
      </c>
      <c r="F170" s="9">
        <f t="shared" si="6"/>
        <v>2000</v>
      </c>
      <c r="G170" s="10">
        <f t="shared" si="7"/>
        <v>2000</v>
      </c>
      <c r="H170" s="11" t="str">
        <f t="shared" si="8"/>
        <v/>
      </c>
    </row>
    <row r="171" spans="1:8" ht="20.100000000000001" customHeight="1" x14ac:dyDescent="0.25">
      <c r="A171" s="2" t="s">
        <v>350</v>
      </c>
      <c r="B171" s="3" t="s">
        <v>351</v>
      </c>
      <c r="C171" s="2" t="s">
        <v>23</v>
      </c>
      <c r="D171" s="4">
        <v>2000</v>
      </c>
      <c r="E171" s="4">
        <v>0</v>
      </c>
      <c r="F171" s="4">
        <f t="shared" si="6"/>
        <v>2000</v>
      </c>
      <c r="G171" s="5">
        <f t="shared" si="7"/>
        <v>-2000</v>
      </c>
      <c r="H171" s="6">
        <f t="shared" si="8"/>
        <v>-1</v>
      </c>
    </row>
    <row r="172" spans="1:8" ht="20.100000000000001" customHeight="1" x14ac:dyDescent="0.25">
      <c r="A172" s="7" t="s">
        <v>352</v>
      </c>
      <c r="B172" s="8" t="s">
        <v>353</v>
      </c>
      <c r="C172" s="7" t="s">
        <v>15</v>
      </c>
      <c r="D172" s="9">
        <v>2000</v>
      </c>
      <c r="E172" s="9">
        <v>0</v>
      </c>
      <c r="F172" s="9">
        <f t="shared" si="6"/>
        <v>2000</v>
      </c>
      <c r="G172" s="10">
        <f t="shared" si="7"/>
        <v>-2000</v>
      </c>
      <c r="H172" s="11">
        <f t="shared" si="8"/>
        <v>-1</v>
      </c>
    </row>
    <row r="173" spans="1:8" ht="20.100000000000001" customHeight="1" x14ac:dyDescent="0.25">
      <c r="A173" s="2" t="s">
        <v>354</v>
      </c>
      <c r="B173" s="3" t="s">
        <v>355</v>
      </c>
      <c r="C173" s="2" t="s">
        <v>15</v>
      </c>
      <c r="D173" s="4">
        <v>2000</v>
      </c>
      <c r="E173" s="4">
        <v>0</v>
      </c>
      <c r="F173" s="4">
        <f t="shared" si="6"/>
        <v>2000</v>
      </c>
      <c r="G173" s="5">
        <f t="shared" si="7"/>
        <v>-2000</v>
      </c>
      <c r="H173" s="6">
        <f t="shared" si="8"/>
        <v>-1</v>
      </c>
    </row>
    <row r="174" spans="1:8" ht="20.100000000000001" customHeight="1" x14ac:dyDescent="0.25">
      <c r="A174" s="7" t="s">
        <v>356</v>
      </c>
      <c r="B174" s="8" t="s">
        <v>357</v>
      </c>
      <c r="C174" s="7" t="s">
        <v>15</v>
      </c>
      <c r="D174" s="9">
        <v>2000</v>
      </c>
      <c r="E174" s="9">
        <v>0</v>
      </c>
      <c r="F174" s="9">
        <f t="shared" si="6"/>
        <v>2000</v>
      </c>
      <c r="G174" s="10">
        <f t="shared" si="7"/>
        <v>-2000</v>
      </c>
      <c r="H174" s="11">
        <f t="shared" si="8"/>
        <v>-1</v>
      </c>
    </row>
    <row r="175" spans="1:8" ht="20.100000000000001" customHeight="1" x14ac:dyDescent="0.25">
      <c r="A175" s="2" t="s">
        <v>358</v>
      </c>
      <c r="B175" s="3" t="s">
        <v>359</v>
      </c>
      <c r="C175" s="2" t="s">
        <v>15</v>
      </c>
      <c r="D175" s="4">
        <v>2000</v>
      </c>
      <c r="E175" s="4">
        <v>0</v>
      </c>
      <c r="F175" s="4">
        <f t="shared" si="6"/>
        <v>2000</v>
      </c>
      <c r="G175" s="5">
        <f t="shared" si="7"/>
        <v>-2000</v>
      </c>
      <c r="H175" s="6">
        <f t="shared" si="8"/>
        <v>-1</v>
      </c>
    </row>
    <row r="176" spans="1:8" ht="20.100000000000001" customHeight="1" x14ac:dyDescent="0.25">
      <c r="A176" s="7" t="s">
        <v>360</v>
      </c>
      <c r="B176" s="8" t="s">
        <v>361</v>
      </c>
      <c r="C176" s="7" t="s">
        <v>15</v>
      </c>
      <c r="D176" s="9">
        <v>2000</v>
      </c>
      <c r="E176" s="9">
        <v>0</v>
      </c>
      <c r="F176" s="9">
        <f t="shared" si="6"/>
        <v>2000</v>
      </c>
      <c r="G176" s="10">
        <f t="shared" si="7"/>
        <v>-2000</v>
      </c>
      <c r="H176" s="11">
        <f t="shared" si="8"/>
        <v>-1</v>
      </c>
    </row>
    <row r="177" spans="1:8" ht="20.100000000000001" customHeight="1" x14ac:dyDescent="0.25">
      <c r="A177" s="2" t="s">
        <v>362</v>
      </c>
      <c r="B177" s="3" t="s">
        <v>363</v>
      </c>
      <c r="C177" s="2" t="s">
        <v>15</v>
      </c>
      <c r="D177" s="4">
        <v>2000</v>
      </c>
      <c r="E177" s="4">
        <v>0</v>
      </c>
      <c r="F177" s="4">
        <f t="shared" si="6"/>
        <v>2000</v>
      </c>
      <c r="G177" s="5">
        <f t="shared" si="7"/>
        <v>-2000</v>
      </c>
      <c r="H177" s="6">
        <f t="shared" si="8"/>
        <v>-1</v>
      </c>
    </row>
    <row r="178" spans="1:8" ht="20.100000000000001" customHeight="1" x14ac:dyDescent="0.25">
      <c r="A178" s="7" t="s">
        <v>364</v>
      </c>
      <c r="B178" s="8" t="s">
        <v>365</v>
      </c>
      <c r="C178" s="7" t="s">
        <v>15</v>
      </c>
      <c r="D178" s="9">
        <v>2000</v>
      </c>
      <c r="E178" s="9">
        <v>0</v>
      </c>
      <c r="F178" s="9">
        <f t="shared" si="6"/>
        <v>2000</v>
      </c>
      <c r="G178" s="10">
        <f t="shared" si="7"/>
        <v>-2000</v>
      </c>
      <c r="H178" s="11">
        <f t="shared" si="8"/>
        <v>-1</v>
      </c>
    </row>
    <row r="179" spans="1:8" ht="20.100000000000001" customHeight="1" x14ac:dyDescent="0.25">
      <c r="A179" s="2" t="s">
        <v>366</v>
      </c>
      <c r="B179" s="3" t="s">
        <v>367</v>
      </c>
      <c r="C179" s="2" t="s">
        <v>15</v>
      </c>
      <c r="D179" s="4">
        <v>500</v>
      </c>
      <c r="E179" s="4">
        <v>1000</v>
      </c>
      <c r="F179" s="4">
        <f t="shared" si="6"/>
        <v>1500</v>
      </c>
      <c r="G179" s="5">
        <f t="shared" si="7"/>
        <v>500</v>
      </c>
      <c r="H179" s="6">
        <f t="shared" si="8"/>
        <v>1</v>
      </c>
    </row>
    <row r="180" spans="1:8" ht="20.100000000000001" customHeight="1" x14ac:dyDescent="0.25">
      <c r="A180" s="7" t="s">
        <v>368</v>
      </c>
      <c r="B180" s="8" t="s">
        <v>369</v>
      </c>
      <c r="C180" s="7" t="s">
        <v>15</v>
      </c>
      <c r="D180" s="9">
        <v>1500</v>
      </c>
      <c r="E180" s="9">
        <v>0</v>
      </c>
      <c r="F180" s="9">
        <f t="shared" si="6"/>
        <v>1500</v>
      </c>
      <c r="G180" s="10">
        <f t="shared" si="7"/>
        <v>-1500</v>
      </c>
      <c r="H180" s="11">
        <f t="shared" si="8"/>
        <v>-1</v>
      </c>
    </row>
    <row r="181" spans="1:8" ht="20.100000000000001" customHeight="1" x14ac:dyDescent="0.25">
      <c r="A181" s="2" t="s">
        <v>370</v>
      </c>
      <c r="B181" s="3" t="s">
        <v>371</v>
      </c>
      <c r="C181" s="2" t="s">
        <v>15</v>
      </c>
      <c r="D181" s="4">
        <v>1200</v>
      </c>
      <c r="E181" s="4">
        <v>0</v>
      </c>
      <c r="F181" s="4">
        <f t="shared" si="6"/>
        <v>1200</v>
      </c>
      <c r="G181" s="5">
        <f t="shared" si="7"/>
        <v>-1200</v>
      </c>
      <c r="H181" s="6">
        <f t="shared" si="8"/>
        <v>-1</v>
      </c>
    </row>
    <row r="182" spans="1:8" ht="20.100000000000001" customHeight="1" x14ac:dyDescent="0.25">
      <c r="A182" s="7" t="s">
        <v>372</v>
      </c>
      <c r="B182" s="8" t="s">
        <v>373</v>
      </c>
      <c r="C182" s="7" t="s">
        <v>26</v>
      </c>
      <c r="D182" s="9">
        <v>1100</v>
      </c>
      <c r="E182" s="9">
        <v>0</v>
      </c>
      <c r="F182" s="9">
        <f t="shared" si="6"/>
        <v>1100</v>
      </c>
      <c r="G182" s="10">
        <f t="shared" si="7"/>
        <v>-1100</v>
      </c>
      <c r="H182" s="11">
        <f t="shared" si="8"/>
        <v>-1</v>
      </c>
    </row>
    <row r="183" spans="1:8" ht="20.100000000000001" customHeight="1" x14ac:dyDescent="0.25">
      <c r="A183" s="2" t="s">
        <v>374</v>
      </c>
      <c r="B183" s="3" t="s">
        <v>375</v>
      </c>
      <c r="C183" s="2" t="s">
        <v>15</v>
      </c>
      <c r="D183" s="4">
        <v>1011</v>
      </c>
      <c r="E183" s="4">
        <v>0</v>
      </c>
      <c r="F183" s="4">
        <f t="shared" si="6"/>
        <v>1011</v>
      </c>
      <c r="G183" s="5">
        <f t="shared" si="7"/>
        <v>-1011</v>
      </c>
      <c r="H183" s="6">
        <f t="shared" si="8"/>
        <v>-1</v>
      </c>
    </row>
    <row r="184" spans="1:8" ht="20.100000000000001" customHeight="1" x14ac:dyDescent="0.25">
      <c r="A184" s="7" t="s">
        <v>376</v>
      </c>
      <c r="B184" s="8" t="s">
        <v>377</v>
      </c>
      <c r="C184" s="7" t="s">
        <v>15</v>
      </c>
      <c r="D184" s="9">
        <v>0</v>
      </c>
      <c r="E184" s="9">
        <v>1000</v>
      </c>
      <c r="F184" s="9">
        <f t="shared" si="6"/>
        <v>1000</v>
      </c>
      <c r="G184" s="10">
        <f t="shared" si="7"/>
        <v>1000</v>
      </c>
      <c r="H184" s="11" t="str">
        <f t="shared" si="8"/>
        <v/>
      </c>
    </row>
    <row r="185" spans="1:8" ht="20.100000000000001" customHeight="1" x14ac:dyDescent="0.25">
      <c r="A185" s="2" t="s">
        <v>378</v>
      </c>
      <c r="B185" s="3" t="s">
        <v>379</v>
      </c>
      <c r="C185" s="2" t="s">
        <v>15</v>
      </c>
      <c r="D185" s="4">
        <v>0</v>
      </c>
      <c r="E185" s="4">
        <v>1000</v>
      </c>
      <c r="F185" s="4">
        <f t="shared" si="6"/>
        <v>1000</v>
      </c>
      <c r="G185" s="5">
        <f t="shared" si="7"/>
        <v>1000</v>
      </c>
      <c r="H185" s="6" t="str">
        <f t="shared" si="8"/>
        <v/>
      </c>
    </row>
    <row r="186" spans="1:8" ht="20.100000000000001" customHeight="1" x14ac:dyDescent="0.25">
      <c r="A186" s="7" t="s">
        <v>380</v>
      </c>
      <c r="B186" s="8" t="s">
        <v>381</v>
      </c>
      <c r="C186" s="7" t="s">
        <v>15</v>
      </c>
      <c r="D186" s="9">
        <v>0</v>
      </c>
      <c r="E186" s="9">
        <v>1000</v>
      </c>
      <c r="F186" s="9">
        <f t="shared" si="6"/>
        <v>1000</v>
      </c>
      <c r="G186" s="10">
        <f t="shared" si="7"/>
        <v>1000</v>
      </c>
      <c r="H186" s="11" t="str">
        <f t="shared" si="8"/>
        <v/>
      </c>
    </row>
    <row r="187" spans="1:8" ht="20.100000000000001" customHeight="1" x14ac:dyDescent="0.25">
      <c r="A187" s="2" t="s">
        <v>382</v>
      </c>
      <c r="B187" s="3" t="s">
        <v>383</v>
      </c>
      <c r="C187" s="2" t="s">
        <v>15</v>
      </c>
      <c r="D187" s="4">
        <v>0</v>
      </c>
      <c r="E187" s="4">
        <v>1000</v>
      </c>
      <c r="F187" s="4">
        <f t="shared" si="6"/>
        <v>1000</v>
      </c>
      <c r="G187" s="5">
        <f t="shared" si="7"/>
        <v>1000</v>
      </c>
      <c r="H187" s="6" t="str">
        <f t="shared" si="8"/>
        <v/>
      </c>
    </row>
    <row r="188" spans="1:8" ht="20.100000000000001" customHeight="1" x14ac:dyDescent="0.25">
      <c r="A188" s="7" t="s">
        <v>384</v>
      </c>
      <c r="B188" s="8" t="s">
        <v>385</v>
      </c>
      <c r="C188" s="7" t="s">
        <v>15</v>
      </c>
      <c r="D188" s="9">
        <v>0</v>
      </c>
      <c r="E188" s="9">
        <v>1000</v>
      </c>
      <c r="F188" s="9">
        <f t="shared" si="6"/>
        <v>1000</v>
      </c>
      <c r="G188" s="10">
        <f t="shared" si="7"/>
        <v>1000</v>
      </c>
      <c r="H188" s="11" t="str">
        <f t="shared" si="8"/>
        <v/>
      </c>
    </row>
    <row r="189" spans="1:8" ht="20.100000000000001" customHeight="1" x14ac:dyDescent="0.25">
      <c r="A189" s="2" t="s">
        <v>386</v>
      </c>
      <c r="B189" s="3" t="s">
        <v>387</v>
      </c>
      <c r="C189" s="2" t="s">
        <v>15</v>
      </c>
      <c r="D189" s="4">
        <v>1000</v>
      </c>
      <c r="E189" s="4">
        <v>0</v>
      </c>
      <c r="F189" s="4">
        <f t="shared" si="6"/>
        <v>1000</v>
      </c>
      <c r="G189" s="5">
        <f t="shared" si="7"/>
        <v>-1000</v>
      </c>
      <c r="H189" s="6">
        <f t="shared" si="8"/>
        <v>-1</v>
      </c>
    </row>
    <row r="190" spans="1:8" ht="20.100000000000001" customHeight="1" x14ac:dyDescent="0.25">
      <c r="A190" s="7" t="s">
        <v>388</v>
      </c>
      <c r="B190" s="8" t="s">
        <v>389</v>
      </c>
      <c r="C190" s="7" t="s">
        <v>15</v>
      </c>
      <c r="D190" s="9">
        <v>1000</v>
      </c>
      <c r="E190" s="9">
        <v>0</v>
      </c>
      <c r="F190" s="9">
        <f t="shared" si="6"/>
        <v>1000</v>
      </c>
      <c r="G190" s="10">
        <f t="shared" si="7"/>
        <v>-1000</v>
      </c>
      <c r="H190" s="11">
        <f t="shared" si="8"/>
        <v>-1</v>
      </c>
    </row>
    <row r="191" spans="1:8" ht="20.100000000000001" customHeight="1" x14ac:dyDescent="0.25">
      <c r="A191" s="2" t="s">
        <v>390</v>
      </c>
      <c r="B191" s="3" t="s">
        <v>391</v>
      </c>
      <c r="C191" s="2" t="s">
        <v>15</v>
      </c>
      <c r="D191" s="4">
        <v>1000</v>
      </c>
      <c r="E191" s="4">
        <v>0</v>
      </c>
      <c r="F191" s="4">
        <f t="shared" si="6"/>
        <v>1000</v>
      </c>
      <c r="G191" s="5">
        <f t="shared" si="7"/>
        <v>-1000</v>
      </c>
      <c r="H191" s="6">
        <f t="shared" si="8"/>
        <v>-1</v>
      </c>
    </row>
    <row r="192" spans="1:8" ht="20.100000000000001" customHeight="1" x14ac:dyDescent="0.25">
      <c r="A192" s="7" t="s">
        <v>392</v>
      </c>
      <c r="B192" s="8" t="s">
        <v>393</v>
      </c>
      <c r="C192" s="7" t="s">
        <v>15</v>
      </c>
      <c r="D192" s="9">
        <v>1000</v>
      </c>
      <c r="E192" s="9">
        <v>0</v>
      </c>
      <c r="F192" s="9">
        <f t="shared" si="6"/>
        <v>1000</v>
      </c>
      <c r="G192" s="10">
        <f t="shared" si="7"/>
        <v>-1000</v>
      </c>
      <c r="H192" s="11">
        <f t="shared" si="8"/>
        <v>-1</v>
      </c>
    </row>
    <row r="193" spans="1:8" ht="20.100000000000001" customHeight="1" x14ac:dyDescent="0.25">
      <c r="A193" s="2" t="s">
        <v>394</v>
      </c>
      <c r="B193" s="3" t="s">
        <v>395</v>
      </c>
      <c r="C193" s="2" t="s">
        <v>15</v>
      </c>
      <c r="D193" s="4">
        <v>1000</v>
      </c>
      <c r="E193" s="4">
        <v>0</v>
      </c>
      <c r="F193" s="4">
        <f t="shared" si="6"/>
        <v>1000</v>
      </c>
      <c r="G193" s="5">
        <f t="shared" si="7"/>
        <v>-1000</v>
      </c>
      <c r="H193" s="6">
        <f t="shared" si="8"/>
        <v>-1</v>
      </c>
    </row>
    <row r="194" spans="1:8" ht="20.100000000000001" customHeight="1" x14ac:dyDescent="0.25">
      <c r="A194" s="7" t="s">
        <v>396</v>
      </c>
      <c r="B194" s="8" t="s">
        <v>397</v>
      </c>
      <c r="C194" s="7" t="s">
        <v>15</v>
      </c>
      <c r="D194" s="9">
        <v>1000</v>
      </c>
      <c r="E194" s="9">
        <v>0</v>
      </c>
      <c r="F194" s="9">
        <f t="shared" si="6"/>
        <v>1000</v>
      </c>
      <c r="G194" s="10">
        <f t="shared" si="7"/>
        <v>-1000</v>
      </c>
      <c r="H194" s="11">
        <f t="shared" si="8"/>
        <v>-1</v>
      </c>
    </row>
    <row r="195" spans="1:8" ht="20.100000000000001" customHeight="1" x14ac:dyDescent="0.25">
      <c r="A195" s="2" t="s">
        <v>398</v>
      </c>
      <c r="B195" s="3" t="s">
        <v>399</v>
      </c>
      <c r="C195" s="2" t="s">
        <v>15</v>
      </c>
      <c r="D195" s="4">
        <v>0</v>
      </c>
      <c r="E195" s="4">
        <v>1000</v>
      </c>
      <c r="F195" s="4">
        <f t="shared" si="6"/>
        <v>1000</v>
      </c>
      <c r="G195" s="5">
        <f t="shared" si="7"/>
        <v>1000</v>
      </c>
      <c r="H195" s="6" t="str">
        <f t="shared" si="8"/>
        <v/>
      </c>
    </row>
    <row r="196" spans="1:8" ht="20.100000000000001" customHeight="1" x14ac:dyDescent="0.25">
      <c r="A196" s="7" t="s">
        <v>400</v>
      </c>
      <c r="B196" s="8" t="s">
        <v>401</v>
      </c>
      <c r="C196" s="7" t="s">
        <v>15</v>
      </c>
      <c r="D196" s="9">
        <v>0</v>
      </c>
      <c r="E196" s="9">
        <v>1000</v>
      </c>
      <c r="F196" s="9">
        <f t="shared" si="6"/>
        <v>1000</v>
      </c>
      <c r="G196" s="10">
        <f t="shared" si="7"/>
        <v>1000</v>
      </c>
      <c r="H196" s="11" t="str">
        <f t="shared" si="8"/>
        <v/>
      </c>
    </row>
    <row r="197" spans="1:8" ht="20.100000000000001" customHeight="1" x14ac:dyDescent="0.25">
      <c r="A197" s="2" t="s">
        <v>402</v>
      </c>
      <c r="B197" s="3" t="s">
        <v>403</v>
      </c>
      <c r="C197" s="2" t="s">
        <v>15</v>
      </c>
      <c r="D197" s="4">
        <v>1000</v>
      </c>
      <c r="E197" s="4">
        <v>0</v>
      </c>
      <c r="F197" s="4">
        <f t="shared" ref="F197:F260" si="9">D197+E197</f>
        <v>1000</v>
      </c>
      <c r="G197" s="5">
        <f t="shared" ref="G197:G213" si="10">E197-D197</f>
        <v>-1000</v>
      </c>
      <c r="H197" s="6">
        <f t="shared" ref="H197:H213" si="11">IF(D197&gt;0, (E197-D197)/D197, "")</f>
        <v>-1</v>
      </c>
    </row>
    <row r="198" spans="1:8" ht="20.100000000000001" customHeight="1" x14ac:dyDescent="0.25">
      <c r="A198" s="7" t="s">
        <v>404</v>
      </c>
      <c r="B198" s="8" t="s">
        <v>405</v>
      </c>
      <c r="C198" s="7" t="s">
        <v>15</v>
      </c>
      <c r="D198" s="9">
        <v>0</v>
      </c>
      <c r="E198" s="9">
        <v>693</v>
      </c>
      <c r="F198" s="9">
        <f t="shared" si="9"/>
        <v>693</v>
      </c>
      <c r="G198" s="10">
        <f t="shared" si="10"/>
        <v>693</v>
      </c>
      <c r="H198" s="11" t="str">
        <f t="shared" si="11"/>
        <v/>
      </c>
    </row>
    <row r="199" spans="1:8" ht="20.100000000000001" customHeight="1" x14ac:dyDescent="0.25">
      <c r="A199" s="2" t="s">
        <v>406</v>
      </c>
      <c r="B199" s="3" t="s">
        <v>407</v>
      </c>
      <c r="C199" s="2" t="s">
        <v>23</v>
      </c>
      <c r="D199" s="4">
        <v>600</v>
      </c>
      <c r="E199" s="4">
        <v>0</v>
      </c>
      <c r="F199" s="4">
        <f t="shared" si="9"/>
        <v>600</v>
      </c>
      <c r="G199" s="5">
        <f t="shared" si="10"/>
        <v>-600</v>
      </c>
      <c r="H199" s="6">
        <f t="shared" si="11"/>
        <v>-1</v>
      </c>
    </row>
    <row r="200" spans="1:8" ht="20.100000000000001" customHeight="1" x14ac:dyDescent="0.25">
      <c r="A200" s="7" t="s">
        <v>408</v>
      </c>
      <c r="B200" s="8" t="s">
        <v>409</v>
      </c>
      <c r="C200" s="7" t="s">
        <v>15</v>
      </c>
      <c r="D200" s="9">
        <v>500</v>
      </c>
      <c r="E200" s="9">
        <v>0</v>
      </c>
      <c r="F200" s="9">
        <f t="shared" si="9"/>
        <v>500</v>
      </c>
      <c r="G200" s="10">
        <f t="shared" si="10"/>
        <v>-500</v>
      </c>
      <c r="H200" s="11">
        <f t="shared" si="11"/>
        <v>-1</v>
      </c>
    </row>
    <row r="201" spans="1:8" ht="20.100000000000001" customHeight="1" x14ac:dyDescent="0.25">
      <c r="A201" s="2" t="s">
        <v>410</v>
      </c>
      <c r="B201" s="3" t="s">
        <v>411</v>
      </c>
      <c r="C201" s="2" t="s">
        <v>15</v>
      </c>
      <c r="D201" s="4">
        <v>500</v>
      </c>
      <c r="E201" s="4">
        <v>0</v>
      </c>
      <c r="F201" s="4">
        <f t="shared" si="9"/>
        <v>500</v>
      </c>
      <c r="G201" s="5">
        <f t="shared" si="10"/>
        <v>-500</v>
      </c>
      <c r="H201" s="6">
        <f t="shared" si="11"/>
        <v>-1</v>
      </c>
    </row>
    <row r="202" spans="1:8" ht="20.100000000000001" customHeight="1" x14ac:dyDescent="0.25">
      <c r="A202" s="7" t="s">
        <v>412</v>
      </c>
      <c r="B202" s="8" t="s">
        <v>413</v>
      </c>
      <c r="C202" s="7" t="s">
        <v>15</v>
      </c>
      <c r="D202" s="9">
        <v>500</v>
      </c>
      <c r="E202" s="9">
        <v>0</v>
      </c>
      <c r="F202" s="9">
        <f t="shared" si="9"/>
        <v>500</v>
      </c>
      <c r="G202" s="10">
        <f t="shared" si="10"/>
        <v>-500</v>
      </c>
      <c r="H202" s="11">
        <f t="shared" si="11"/>
        <v>-1</v>
      </c>
    </row>
    <row r="203" spans="1:8" ht="20.100000000000001" customHeight="1" x14ac:dyDescent="0.25">
      <c r="A203" s="2" t="s">
        <v>414</v>
      </c>
      <c r="B203" s="3" t="s">
        <v>415</v>
      </c>
      <c r="C203" s="2" t="s">
        <v>15</v>
      </c>
      <c r="D203" s="4">
        <v>0</v>
      </c>
      <c r="E203" s="4">
        <v>500</v>
      </c>
      <c r="F203" s="4">
        <f t="shared" si="9"/>
        <v>500</v>
      </c>
      <c r="G203" s="5">
        <f t="shared" si="10"/>
        <v>500</v>
      </c>
      <c r="H203" s="6" t="str">
        <f t="shared" si="11"/>
        <v/>
      </c>
    </row>
    <row r="204" spans="1:8" ht="20.100000000000001" customHeight="1" x14ac:dyDescent="0.25">
      <c r="A204" s="7" t="s">
        <v>416</v>
      </c>
      <c r="B204" s="8" t="s">
        <v>417</v>
      </c>
      <c r="C204" s="7" t="s">
        <v>54</v>
      </c>
      <c r="D204" s="9">
        <v>250</v>
      </c>
      <c r="E204" s="9">
        <v>200</v>
      </c>
      <c r="F204" s="9">
        <f t="shared" si="9"/>
        <v>450</v>
      </c>
      <c r="G204" s="10">
        <f t="shared" si="10"/>
        <v>-50</v>
      </c>
      <c r="H204" s="11">
        <f t="shared" si="11"/>
        <v>-0.2</v>
      </c>
    </row>
    <row r="205" spans="1:8" ht="20.100000000000001" customHeight="1" x14ac:dyDescent="0.25">
      <c r="A205" s="2" t="s">
        <v>418</v>
      </c>
      <c r="B205" s="3" t="s">
        <v>419</v>
      </c>
      <c r="C205" s="2" t="s">
        <v>190</v>
      </c>
      <c r="D205" s="4">
        <v>0</v>
      </c>
      <c r="E205" s="4">
        <v>250</v>
      </c>
      <c r="F205" s="4">
        <f t="shared" si="9"/>
        <v>250</v>
      </c>
      <c r="G205" s="5">
        <f t="shared" si="10"/>
        <v>250</v>
      </c>
      <c r="H205" s="6" t="str">
        <f t="shared" si="11"/>
        <v/>
      </c>
    </row>
    <row r="206" spans="1:8" ht="20.100000000000001" customHeight="1" x14ac:dyDescent="0.25">
      <c r="A206" s="7" t="s">
        <v>420</v>
      </c>
      <c r="B206" s="8" t="s">
        <v>421</v>
      </c>
      <c r="C206" s="7" t="s">
        <v>26</v>
      </c>
      <c r="D206" s="9">
        <v>0</v>
      </c>
      <c r="E206" s="9">
        <v>158</v>
      </c>
      <c r="F206" s="9">
        <f t="shared" si="9"/>
        <v>158</v>
      </c>
      <c r="G206" s="10">
        <f t="shared" si="10"/>
        <v>158</v>
      </c>
      <c r="H206" s="11" t="str">
        <f t="shared" si="11"/>
        <v/>
      </c>
    </row>
    <row r="207" spans="1:8" ht="20.100000000000001" customHeight="1" x14ac:dyDescent="0.25">
      <c r="A207" s="2" t="s">
        <v>422</v>
      </c>
      <c r="B207" s="3" t="s">
        <v>423</v>
      </c>
      <c r="C207" s="2" t="s">
        <v>15</v>
      </c>
      <c r="D207" s="4">
        <v>0</v>
      </c>
      <c r="E207" s="4">
        <v>140</v>
      </c>
      <c r="F207" s="4">
        <f t="shared" si="9"/>
        <v>140</v>
      </c>
      <c r="G207" s="5">
        <f t="shared" si="10"/>
        <v>140</v>
      </c>
      <c r="H207" s="6" t="str">
        <f t="shared" si="11"/>
        <v/>
      </c>
    </row>
    <row r="208" spans="1:8" ht="20.100000000000001" customHeight="1" x14ac:dyDescent="0.25">
      <c r="A208" s="7" t="s">
        <v>424</v>
      </c>
      <c r="B208" s="8" t="s">
        <v>425</v>
      </c>
      <c r="C208" s="7" t="s">
        <v>23</v>
      </c>
      <c r="D208" s="9">
        <v>100</v>
      </c>
      <c r="E208" s="9">
        <v>0</v>
      </c>
      <c r="F208" s="9">
        <f t="shared" si="9"/>
        <v>100</v>
      </c>
      <c r="G208" s="10">
        <f t="shared" si="10"/>
        <v>-100</v>
      </c>
      <c r="H208" s="11">
        <f t="shared" si="11"/>
        <v>-1</v>
      </c>
    </row>
    <row r="209" spans="1:8" ht="20.100000000000001" customHeight="1" x14ac:dyDescent="0.25">
      <c r="A209" s="2" t="s">
        <v>426</v>
      </c>
      <c r="B209" s="3" t="s">
        <v>427</v>
      </c>
      <c r="C209" s="2" t="s">
        <v>23</v>
      </c>
      <c r="D209" s="4">
        <v>20</v>
      </c>
      <c r="E209" s="4">
        <v>0</v>
      </c>
      <c r="F209" s="4">
        <f t="shared" si="9"/>
        <v>20</v>
      </c>
      <c r="G209" s="5">
        <f t="shared" si="10"/>
        <v>-20</v>
      </c>
      <c r="H209" s="6">
        <f t="shared" si="11"/>
        <v>-1</v>
      </c>
    </row>
    <row r="210" spans="1:8" ht="20.100000000000001" customHeight="1" x14ac:dyDescent="0.25">
      <c r="A210" s="7" t="s">
        <v>428</v>
      </c>
      <c r="B210" s="8" t="s">
        <v>429</v>
      </c>
      <c r="C210" s="7" t="s">
        <v>15</v>
      </c>
      <c r="D210" s="9">
        <v>14</v>
      </c>
      <c r="E210" s="9">
        <v>0</v>
      </c>
      <c r="F210" s="9">
        <f t="shared" si="9"/>
        <v>14</v>
      </c>
      <c r="G210" s="10">
        <f t="shared" si="10"/>
        <v>-14</v>
      </c>
      <c r="H210" s="11">
        <f t="shared" si="11"/>
        <v>-1</v>
      </c>
    </row>
    <row r="211" spans="1:8" ht="20.100000000000001" customHeight="1" x14ac:dyDescent="0.25">
      <c r="A211" s="2" t="s">
        <v>430</v>
      </c>
      <c r="B211" s="3" t="s">
        <v>431</v>
      </c>
      <c r="C211" s="2" t="s">
        <v>15</v>
      </c>
      <c r="D211" s="4">
        <v>10</v>
      </c>
      <c r="E211" s="4">
        <v>0</v>
      </c>
      <c r="F211" s="4">
        <f t="shared" si="9"/>
        <v>10</v>
      </c>
      <c r="G211" s="5">
        <f t="shared" si="10"/>
        <v>-10</v>
      </c>
      <c r="H211" s="6">
        <f t="shared" si="11"/>
        <v>-1</v>
      </c>
    </row>
    <row r="212" spans="1:8" ht="20.100000000000001" customHeight="1" x14ac:dyDescent="0.25">
      <c r="A212" s="7"/>
      <c r="B212" s="8" t="s">
        <v>432</v>
      </c>
      <c r="C212" s="7" t="s">
        <v>15</v>
      </c>
      <c r="D212" s="9">
        <v>0</v>
      </c>
      <c r="E212" s="9">
        <v>0</v>
      </c>
      <c r="F212" s="9">
        <f t="shared" si="9"/>
        <v>0</v>
      </c>
      <c r="G212" s="10">
        <f t="shared" si="10"/>
        <v>0</v>
      </c>
      <c r="H212" s="11" t="str">
        <f t="shared" si="11"/>
        <v/>
      </c>
    </row>
    <row r="213" spans="1:8" ht="24" customHeight="1" x14ac:dyDescent="0.3">
      <c r="A213" s="12"/>
      <c r="B213" s="13" t="s">
        <v>433</v>
      </c>
      <c r="C213" s="12"/>
      <c r="D213" s="14">
        <f>SUM(D5:D212)</f>
        <v>20471586</v>
      </c>
      <c r="E213" s="14">
        <f>SUM(E5:E212)</f>
        <v>16751465</v>
      </c>
      <c r="F213" s="14">
        <f>SUM(F5:F212)</f>
        <v>37223051</v>
      </c>
      <c r="G213" s="15">
        <f t="shared" si="10"/>
        <v>-3720121</v>
      </c>
      <c r="H213" s="16">
        <f t="shared" si="11"/>
        <v>-0.18172119150905064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6"/>
  <sheetViews>
    <sheetView workbookViewId="0">
      <pane xSplit="2" ySplit="4" topLeftCell="C5" activePane="bottomRight" state="frozen"/>
      <selection pane="topRight"/>
      <selection pane="bottomLeft"/>
      <selection pane="bottomRight" activeCell="E17" sqref="E17"/>
    </sheetView>
  </sheetViews>
  <sheetFormatPr baseColWidth="10" defaultColWidth="9.140625" defaultRowHeight="15" x14ac:dyDescent="0.25"/>
  <cols>
    <col min="1" max="1" width="16" customWidth="1"/>
    <col min="2" max="2" width="57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434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10</v>
      </c>
      <c r="B5" s="3" t="s">
        <v>11</v>
      </c>
      <c r="C5" s="4">
        <v>4398502</v>
      </c>
      <c r="D5" s="4">
        <v>2892000</v>
      </c>
      <c r="E5" s="4">
        <f t="shared" ref="E5:E36" si="0">C5+D5</f>
        <v>7290502</v>
      </c>
      <c r="F5" s="5">
        <f t="shared" ref="F5:F36" si="1">D5-C5</f>
        <v>-1506502</v>
      </c>
      <c r="G5" s="6">
        <f t="shared" ref="G5:G36" si="2">IF(C5&gt;0, (D5-C5)/C5, "")</f>
        <v>-0.34250342502970327</v>
      </c>
    </row>
    <row r="6" spans="1:7" ht="20.100000000000001" customHeight="1" x14ac:dyDescent="0.25">
      <c r="A6" s="7" t="s">
        <v>18</v>
      </c>
      <c r="B6" s="8" t="s">
        <v>19</v>
      </c>
      <c r="C6" s="9">
        <v>1646874</v>
      </c>
      <c r="D6" s="9">
        <v>1669000</v>
      </c>
      <c r="E6" s="9">
        <f t="shared" si="0"/>
        <v>3315874</v>
      </c>
      <c r="F6" s="10">
        <f t="shared" si="1"/>
        <v>22126</v>
      </c>
      <c r="G6" s="11">
        <f t="shared" si="2"/>
        <v>1.3435150472956644E-2</v>
      </c>
    </row>
    <row r="7" spans="1:7" ht="20.100000000000001" customHeight="1" x14ac:dyDescent="0.25">
      <c r="A7" s="2" t="s">
        <v>21</v>
      </c>
      <c r="B7" s="3" t="s">
        <v>22</v>
      </c>
      <c r="C7" s="4">
        <v>822000</v>
      </c>
      <c r="D7" s="4">
        <v>1190626</v>
      </c>
      <c r="E7" s="4">
        <f t="shared" si="0"/>
        <v>2012626</v>
      </c>
      <c r="F7" s="5">
        <f t="shared" si="1"/>
        <v>368626</v>
      </c>
      <c r="G7" s="6">
        <f t="shared" si="2"/>
        <v>0.44845012165450121</v>
      </c>
    </row>
    <row r="8" spans="1:7" ht="20.100000000000001" customHeight="1" x14ac:dyDescent="0.25">
      <c r="A8" s="7" t="s">
        <v>27</v>
      </c>
      <c r="B8" s="8" t="s">
        <v>28</v>
      </c>
      <c r="C8" s="9">
        <v>760000</v>
      </c>
      <c r="D8" s="9">
        <v>0</v>
      </c>
      <c r="E8" s="9">
        <f t="shared" si="0"/>
        <v>760000</v>
      </c>
      <c r="F8" s="10">
        <f t="shared" si="1"/>
        <v>-760000</v>
      </c>
      <c r="G8" s="11">
        <f t="shared" si="2"/>
        <v>-1</v>
      </c>
    </row>
    <row r="9" spans="1:7" ht="20.100000000000001" customHeight="1" x14ac:dyDescent="0.25">
      <c r="A9" s="2" t="s">
        <v>36</v>
      </c>
      <c r="B9" s="3" t="s">
        <v>37</v>
      </c>
      <c r="C9" s="4">
        <v>220590</v>
      </c>
      <c r="D9" s="4">
        <v>69000</v>
      </c>
      <c r="E9" s="4">
        <f t="shared" si="0"/>
        <v>289590</v>
      </c>
      <c r="F9" s="5">
        <f t="shared" si="1"/>
        <v>-151590</v>
      </c>
      <c r="G9" s="6">
        <f t="shared" si="2"/>
        <v>-0.68720250237998093</v>
      </c>
    </row>
    <row r="10" spans="1:7" ht="20.100000000000001" customHeight="1" x14ac:dyDescent="0.25">
      <c r="A10" s="7" t="s">
        <v>32</v>
      </c>
      <c r="B10" s="8" t="s">
        <v>33</v>
      </c>
      <c r="C10" s="9">
        <v>25000</v>
      </c>
      <c r="D10" s="9">
        <v>230106</v>
      </c>
      <c r="E10" s="9">
        <f t="shared" si="0"/>
        <v>255106</v>
      </c>
      <c r="F10" s="10">
        <f t="shared" si="1"/>
        <v>205106</v>
      </c>
      <c r="G10" s="11">
        <f t="shared" si="2"/>
        <v>8.2042400000000004</v>
      </c>
    </row>
    <row r="11" spans="1:7" ht="20.100000000000001" customHeight="1" x14ac:dyDescent="0.25">
      <c r="A11" s="2" t="s">
        <v>34</v>
      </c>
      <c r="B11" s="3" t="s">
        <v>35</v>
      </c>
      <c r="C11" s="4">
        <v>108000</v>
      </c>
      <c r="D11" s="4">
        <v>147000</v>
      </c>
      <c r="E11" s="4">
        <f t="shared" si="0"/>
        <v>255000</v>
      </c>
      <c r="F11" s="5">
        <f t="shared" si="1"/>
        <v>39000</v>
      </c>
      <c r="G11" s="6">
        <f t="shared" si="2"/>
        <v>0.3611111111111111</v>
      </c>
    </row>
    <row r="12" spans="1:7" ht="20.100000000000001" customHeight="1" x14ac:dyDescent="0.25">
      <c r="A12" s="7" t="s">
        <v>40</v>
      </c>
      <c r="B12" s="8" t="s">
        <v>41</v>
      </c>
      <c r="C12" s="9">
        <v>121500</v>
      </c>
      <c r="D12" s="9">
        <v>100040</v>
      </c>
      <c r="E12" s="9">
        <f t="shared" si="0"/>
        <v>221540</v>
      </c>
      <c r="F12" s="10">
        <f t="shared" si="1"/>
        <v>-21460</v>
      </c>
      <c r="G12" s="11">
        <f t="shared" si="2"/>
        <v>-0.17662551440329219</v>
      </c>
    </row>
    <row r="13" spans="1:7" ht="20.100000000000001" customHeight="1" x14ac:dyDescent="0.25">
      <c r="A13" s="2" t="s">
        <v>42</v>
      </c>
      <c r="B13" s="3" t="s">
        <v>43</v>
      </c>
      <c r="C13" s="4">
        <v>50000</v>
      </c>
      <c r="D13" s="4">
        <v>170000</v>
      </c>
      <c r="E13" s="4">
        <f t="shared" si="0"/>
        <v>220000</v>
      </c>
      <c r="F13" s="5">
        <f t="shared" si="1"/>
        <v>120000</v>
      </c>
      <c r="G13" s="6">
        <f t="shared" si="2"/>
        <v>2.4</v>
      </c>
    </row>
    <row r="14" spans="1:7" ht="20.100000000000001" customHeight="1" x14ac:dyDescent="0.25">
      <c r="A14" s="7" t="s">
        <v>46</v>
      </c>
      <c r="B14" s="8" t="s">
        <v>47</v>
      </c>
      <c r="C14" s="9">
        <v>150000</v>
      </c>
      <c r="D14" s="9">
        <v>0</v>
      </c>
      <c r="E14" s="9">
        <f t="shared" si="0"/>
        <v>150000</v>
      </c>
      <c r="F14" s="10">
        <f t="shared" si="1"/>
        <v>-150000</v>
      </c>
      <c r="G14" s="11">
        <f t="shared" si="2"/>
        <v>-1</v>
      </c>
    </row>
    <row r="15" spans="1:7" ht="20.100000000000001" customHeight="1" x14ac:dyDescent="0.25">
      <c r="A15" s="2" t="s">
        <v>48</v>
      </c>
      <c r="B15" s="3" t="s">
        <v>49</v>
      </c>
      <c r="C15" s="4">
        <v>35000</v>
      </c>
      <c r="D15" s="4">
        <v>110000</v>
      </c>
      <c r="E15" s="4">
        <f t="shared" si="0"/>
        <v>145000</v>
      </c>
      <c r="F15" s="5">
        <f t="shared" si="1"/>
        <v>75000</v>
      </c>
      <c r="G15" s="6">
        <f t="shared" si="2"/>
        <v>2.1428571428571428</v>
      </c>
    </row>
    <row r="16" spans="1:7" ht="20.100000000000001" customHeight="1" x14ac:dyDescent="0.25">
      <c r="A16" s="7" t="s">
        <v>50</v>
      </c>
      <c r="B16" s="8" t="s">
        <v>51</v>
      </c>
      <c r="C16" s="9">
        <v>60002</v>
      </c>
      <c r="D16" s="9">
        <v>75000</v>
      </c>
      <c r="E16" s="9">
        <f t="shared" si="0"/>
        <v>135002</v>
      </c>
      <c r="F16" s="10">
        <f t="shared" si="1"/>
        <v>14998</v>
      </c>
      <c r="G16" s="11">
        <f t="shared" si="2"/>
        <v>0.24995833472217593</v>
      </c>
    </row>
    <row r="17" spans="1:7" ht="20.100000000000001" customHeight="1" x14ac:dyDescent="0.25">
      <c r="A17" s="2" t="s">
        <v>52</v>
      </c>
      <c r="B17" s="3" t="s">
        <v>53</v>
      </c>
      <c r="C17" s="4">
        <v>50000</v>
      </c>
      <c r="D17" s="4">
        <v>59000</v>
      </c>
      <c r="E17" s="4">
        <f>C17+D17</f>
        <v>109000</v>
      </c>
      <c r="F17" s="5">
        <f t="shared" si="1"/>
        <v>9000</v>
      </c>
      <c r="G17" s="6">
        <f t="shared" si="2"/>
        <v>0.18</v>
      </c>
    </row>
    <row r="18" spans="1:7" ht="20.100000000000001" customHeight="1" x14ac:dyDescent="0.25">
      <c r="A18" s="7" t="s">
        <v>55</v>
      </c>
      <c r="B18" s="8" t="s">
        <v>56</v>
      </c>
      <c r="C18" s="9">
        <v>60000</v>
      </c>
      <c r="D18" s="9">
        <v>49000</v>
      </c>
      <c r="E18" s="9">
        <f t="shared" si="0"/>
        <v>109000</v>
      </c>
      <c r="F18" s="10">
        <f t="shared" si="1"/>
        <v>-11000</v>
      </c>
      <c r="G18" s="11">
        <f t="shared" si="2"/>
        <v>-0.18333333333333332</v>
      </c>
    </row>
    <row r="19" spans="1:7" ht="20.100000000000001" customHeight="1" x14ac:dyDescent="0.25">
      <c r="A19" s="2" t="s">
        <v>61</v>
      </c>
      <c r="B19" s="3" t="s">
        <v>62</v>
      </c>
      <c r="C19" s="4">
        <v>103000</v>
      </c>
      <c r="D19" s="4">
        <v>0</v>
      </c>
      <c r="E19" s="4">
        <f t="shared" si="0"/>
        <v>103000</v>
      </c>
      <c r="F19" s="5">
        <f t="shared" si="1"/>
        <v>-103000</v>
      </c>
      <c r="G19" s="6">
        <f t="shared" si="2"/>
        <v>-1</v>
      </c>
    </row>
    <row r="20" spans="1:7" ht="20.100000000000001" customHeight="1" x14ac:dyDescent="0.25">
      <c r="A20" s="7" t="s">
        <v>63</v>
      </c>
      <c r="B20" s="8" t="s">
        <v>64</v>
      </c>
      <c r="C20" s="9">
        <v>100019</v>
      </c>
      <c r="D20" s="9">
        <v>219</v>
      </c>
      <c r="E20" s="9">
        <f t="shared" si="0"/>
        <v>100238</v>
      </c>
      <c r="F20" s="10">
        <f t="shared" si="1"/>
        <v>-99800</v>
      </c>
      <c r="G20" s="11">
        <f t="shared" si="2"/>
        <v>-0.99781041602095599</v>
      </c>
    </row>
    <row r="21" spans="1:7" ht="20.100000000000001" customHeight="1" x14ac:dyDescent="0.25">
      <c r="A21" s="2" t="s">
        <v>65</v>
      </c>
      <c r="B21" s="3" t="s">
        <v>66</v>
      </c>
      <c r="C21" s="4">
        <v>94000</v>
      </c>
      <c r="D21" s="4">
        <v>5000</v>
      </c>
      <c r="E21" s="4">
        <f t="shared" si="0"/>
        <v>99000</v>
      </c>
      <c r="F21" s="5">
        <f t="shared" si="1"/>
        <v>-89000</v>
      </c>
      <c r="G21" s="6">
        <f t="shared" si="2"/>
        <v>-0.94680851063829785</v>
      </c>
    </row>
    <row r="22" spans="1:7" ht="20.100000000000001" customHeight="1" x14ac:dyDescent="0.25">
      <c r="A22" s="7" t="s">
        <v>69</v>
      </c>
      <c r="B22" s="8" t="s">
        <v>70</v>
      </c>
      <c r="C22" s="9">
        <v>79000</v>
      </c>
      <c r="D22" s="9">
        <v>13721</v>
      </c>
      <c r="E22" s="9">
        <f t="shared" si="0"/>
        <v>92721</v>
      </c>
      <c r="F22" s="10">
        <f t="shared" si="1"/>
        <v>-65279</v>
      </c>
      <c r="G22" s="11">
        <f t="shared" si="2"/>
        <v>-0.82631645569620249</v>
      </c>
    </row>
    <row r="23" spans="1:7" ht="20.100000000000001" customHeight="1" x14ac:dyDescent="0.25">
      <c r="A23" s="2" t="s">
        <v>73</v>
      </c>
      <c r="B23" s="3" t="s">
        <v>74</v>
      </c>
      <c r="C23" s="4">
        <v>50000</v>
      </c>
      <c r="D23" s="4">
        <v>36500</v>
      </c>
      <c r="E23" s="4">
        <f t="shared" si="0"/>
        <v>86500</v>
      </c>
      <c r="F23" s="5">
        <f t="shared" si="1"/>
        <v>-13500</v>
      </c>
      <c r="G23" s="6">
        <f t="shared" si="2"/>
        <v>-0.27</v>
      </c>
    </row>
    <row r="24" spans="1:7" ht="20.100000000000001" customHeight="1" x14ac:dyDescent="0.25">
      <c r="A24" s="7" t="s">
        <v>71</v>
      </c>
      <c r="B24" s="8" t="s">
        <v>72</v>
      </c>
      <c r="C24" s="9">
        <v>60000</v>
      </c>
      <c r="D24" s="9">
        <v>26500</v>
      </c>
      <c r="E24" s="9">
        <f t="shared" si="0"/>
        <v>86500</v>
      </c>
      <c r="F24" s="10">
        <f t="shared" si="1"/>
        <v>-33500</v>
      </c>
      <c r="G24" s="11">
        <f t="shared" si="2"/>
        <v>-0.55833333333333335</v>
      </c>
    </row>
    <row r="25" spans="1:7" ht="20.100000000000001" customHeight="1" x14ac:dyDescent="0.25">
      <c r="A25" s="2" t="s">
        <v>75</v>
      </c>
      <c r="B25" s="3" t="s">
        <v>76</v>
      </c>
      <c r="C25" s="4">
        <v>43000</v>
      </c>
      <c r="D25" s="4">
        <v>39500</v>
      </c>
      <c r="E25" s="4">
        <f t="shared" si="0"/>
        <v>82500</v>
      </c>
      <c r="F25" s="5">
        <f t="shared" si="1"/>
        <v>-3500</v>
      </c>
      <c r="G25" s="6">
        <f t="shared" si="2"/>
        <v>-8.1395348837209308E-2</v>
      </c>
    </row>
    <row r="26" spans="1:7" ht="20.100000000000001" customHeight="1" x14ac:dyDescent="0.25">
      <c r="A26" s="7" t="s">
        <v>77</v>
      </c>
      <c r="B26" s="8" t="s">
        <v>78</v>
      </c>
      <c r="C26" s="9">
        <v>80000</v>
      </c>
      <c r="D26" s="9">
        <v>0</v>
      </c>
      <c r="E26" s="9">
        <f t="shared" si="0"/>
        <v>80000</v>
      </c>
      <c r="F26" s="10">
        <f t="shared" si="1"/>
        <v>-80000</v>
      </c>
      <c r="G26" s="11">
        <f t="shared" si="2"/>
        <v>-1</v>
      </c>
    </row>
    <row r="27" spans="1:7" ht="20.100000000000001" customHeight="1" x14ac:dyDescent="0.25">
      <c r="A27" s="2" t="s">
        <v>83</v>
      </c>
      <c r="B27" s="3" t="s">
        <v>84</v>
      </c>
      <c r="C27" s="4">
        <v>20000</v>
      </c>
      <c r="D27" s="4">
        <v>50000</v>
      </c>
      <c r="E27" s="4">
        <f t="shared" si="0"/>
        <v>70000</v>
      </c>
      <c r="F27" s="5">
        <f t="shared" si="1"/>
        <v>30000</v>
      </c>
      <c r="G27" s="6">
        <f t="shared" si="2"/>
        <v>1.5</v>
      </c>
    </row>
    <row r="28" spans="1:7" ht="20.100000000000001" customHeight="1" x14ac:dyDescent="0.25">
      <c r="A28" s="7" t="s">
        <v>85</v>
      </c>
      <c r="B28" s="8" t="s">
        <v>86</v>
      </c>
      <c r="C28" s="9">
        <v>70000</v>
      </c>
      <c r="D28" s="9">
        <v>0</v>
      </c>
      <c r="E28" s="9">
        <f t="shared" si="0"/>
        <v>70000</v>
      </c>
      <c r="F28" s="10">
        <f t="shared" si="1"/>
        <v>-70000</v>
      </c>
      <c r="G28" s="11">
        <f t="shared" si="2"/>
        <v>-1</v>
      </c>
    </row>
    <row r="29" spans="1:7" ht="20.100000000000001" customHeight="1" x14ac:dyDescent="0.25">
      <c r="A29" s="2" t="s">
        <v>24</v>
      </c>
      <c r="B29" s="3" t="s">
        <v>25</v>
      </c>
      <c r="C29" s="4">
        <v>16000</v>
      </c>
      <c r="D29" s="4">
        <v>50500</v>
      </c>
      <c r="E29" s="4">
        <f t="shared" si="0"/>
        <v>66500</v>
      </c>
      <c r="F29" s="5">
        <f t="shared" si="1"/>
        <v>34500</v>
      </c>
      <c r="G29" s="6">
        <f t="shared" si="2"/>
        <v>2.15625</v>
      </c>
    </row>
    <row r="30" spans="1:7" ht="20.100000000000001" customHeight="1" x14ac:dyDescent="0.25">
      <c r="A30" s="7" t="s">
        <v>87</v>
      </c>
      <c r="B30" s="8" t="s">
        <v>88</v>
      </c>
      <c r="C30" s="9">
        <v>42000</v>
      </c>
      <c r="D30" s="9">
        <v>22000</v>
      </c>
      <c r="E30" s="9">
        <f t="shared" si="0"/>
        <v>64000</v>
      </c>
      <c r="F30" s="10">
        <f t="shared" si="1"/>
        <v>-20000</v>
      </c>
      <c r="G30" s="11">
        <f t="shared" si="2"/>
        <v>-0.47619047619047616</v>
      </c>
    </row>
    <row r="31" spans="1:7" ht="20.100000000000001" customHeight="1" x14ac:dyDescent="0.25">
      <c r="A31" s="2" t="s">
        <v>89</v>
      </c>
      <c r="B31" s="3" t="s">
        <v>90</v>
      </c>
      <c r="C31" s="4">
        <v>10000</v>
      </c>
      <c r="D31" s="4">
        <v>53000</v>
      </c>
      <c r="E31" s="4">
        <f t="shared" si="0"/>
        <v>63000</v>
      </c>
      <c r="F31" s="5">
        <f t="shared" si="1"/>
        <v>43000</v>
      </c>
      <c r="G31" s="6">
        <f t="shared" si="2"/>
        <v>4.3</v>
      </c>
    </row>
    <row r="32" spans="1:7" ht="20.100000000000001" customHeight="1" x14ac:dyDescent="0.25">
      <c r="A32" s="7"/>
      <c r="B32" s="8" t="s">
        <v>91</v>
      </c>
      <c r="C32" s="9">
        <v>60500</v>
      </c>
      <c r="D32" s="9">
        <v>0</v>
      </c>
      <c r="E32" s="9">
        <f t="shared" si="0"/>
        <v>60500</v>
      </c>
      <c r="F32" s="10">
        <f t="shared" si="1"/>
        <v>-60500</v>
      </c>
      <c r="G32" s="11">
        <f t="shared" si="2"/>
        <v>-1</v>
      </c>
    </row>
    <row r="33" spans="1:7" ht="20.100000000000001" customHeight="1" x14ac:dyDescent="0.25">
      <c r="A33" s="2" t="s">
        <v>79</v>
      </c>
      <c r="B33" s="3" t="s">
        <v>80</v>
      </c>
      <c r="C33" s="4">
        <v>40000</v>
      </c>
      <c r="D33" s="4">
        <v>19000</v>
      </c>
      <c r="E33" s="4">
        <f t="shared" si="0"/>
        <v>59000</v>
      </c>
      <c r="F33" s="5">
        <f t="shared" si="1"/>
        <v>-21000</v>
      </c>
      <c r="G33" s="6">
        <f t="shared" si="2"/>
        <v>-0.52500000000000002</v>
      </c>
    </row>
    <row r="34" spans="1:7" ht="20.100000000000001" customHeight="1" x14ac:dyDescent="0.25">
      <c r="A34" s="7" t="s">
        <v>94</v>
      </c>
      <c r="B34" s="8" t="s">
        <v>95</v>
      </c>
      <c r="C34" s="9">
        <v>58000</v>
      </c>
      <c r="D34" s="9">
        <v>0</v>
      </c>
      <c r="E34" s="9">
        <f t="shared" si="0"/>
        <v>58000</v>
      </c>
      <c r="F34" s="10">
        <f t="shared" si="1"/>
        <v>-58000</v>
      </c>
      <c r="G34" s="11">
        <f t="shared" si="2"/>
        <v>-1</v>
      </c>
    </row>
    <row r="35" spans="1:7" ht="20.100000000000001" customHeight="1" x14ac:dyDescent="0.25">
      <c r="A35" s="2" t="s">
        <v>96</v>
      </c>
      <c r="B35" s="3" t="s">
        <v>97</v>
      </c>
      <c r="C35" s="4">
        <v>53597</v>
      </c>
      <c r="D35" s="4">
        <v>927</v>
      </c>
      <c r="E35" s="4">
        <f t="shared" si="0"/>
        <v>54524</v>
      </c>
      <c r="F35" s="5">
        <f t="shared" si="1"/>
        <v>-52670</v>
      </c>
      <c r="G35" s="6">
        <f t="shared" si="2"/>
        <v>-0.9827042558352147</v>
      </c>
    </row>
    <row r="36" spans="1:7" ht="20.100000000000001" customHeight="1" x14ac:dyDescent="0.25">
      <c r="A36" s="7" t="s">
        <v>98</v>
      </c>
      <c r="B36" s="8" t="s">
        <v>99</v>
      </c>
      <c r="C36" s="9">
        <v>8500</v>
      </c>
      <c r="D36" s="9">
        <v>45000</v>
      </c>
      <c r="E36" s="9">
        <f t="shared" si="0"/>
        <v>53500</v>
      </c>
      <c r="F36" s="10">
        <f t="shared" si="1"/>
        <v>36500</v>
      </c>
      <c r="G36" s="11">
        <f t="shared" si="2"/>
        <v>4.2941176470588234</v>
      </c>
    </row>
    <row r="37" spans="1:7" ht="20.100000000000001" customHeight="1" x14ac:dyDescent="0.25">
      <c r="A37" s="2" t="s">
        <v>100</v>
      </c>
      <c r="B37" s="3" t="s">
        <v>101</v>
      </c>
      <c r="C37" s="4">
        <v>26000</v>
      </c>
      <c r="D37" s="4">
        <v>27000</v>
      </c>
      <c r="E37" s="4">
        <f t="shared" ref="E37:E68" si="3">C37+D37</f>
        <v>53000</v>
      </c>
      <c r="F37" s="5">
        <f t="shared" ref="F37:F68" si="4">D37-C37</f>
        <v>1000</v>
      </c>
      <c r="G37" s="6">
        <f t="shared" ref="G37:G68" si="5">IF(C37&gt;0, (D37-C37)/C37, "")</f>
        <v>3.8461538461538464E-2</v>
      </c>
    </row>
    <row r="38" spans="1:7" ht="20.100000000000001" customHeight="1" x14ac:dyDescent="0.25">
      <c r="A38" s="7" t="s">
        <v>57</v>
      </c>
      <c r="B38" s="8" t="s">
        <v>58</v>
      </c>
      <c r="C38" s="9">
        <v>45000</v>
      </c>
      <c r="D38" s="9">
        <v>0</v>
      </c>
      <c r="E38" s="9">
        <f t="shared" si="3"/>
        <v>45000</v>
      </c>
      <c r="F38" s="10">
        <f t="shared" si="4"/>
        <v>-45000</v>
      </c>
      <c r="G38" s="11">
        <f t="shared" si="5"/>
        <v>-1</v>
      </c>
    </row>
    <row r="39" spans="1:7" ht="20.100000000000001" customHeight="1" x14ac:dyDescent="0.25">
      <c r="A39" s="2" t="s">
        <v>106</v>
      </c>
      <c r="B39" s="3" t="s">
        <v>107</v>
      </c>
      <c r="C39" s="4">
        <v>33000</v>
      </c>
      <c r="D39" s="4">
        <v>10000</v>
      </c>
      <c r="E39" s="4">
        <f t="shared" si="3"/>
        <v>43000</v>
      </c>
      <c r="F39" s="5">
        <f t="shared" si="4"/>
        <v>-23000</v>
      </c>
      <c r="G39" s="6">
        <f t="shared" si="5"/>
        <v>-0.69696969696969702</v>
      </c>
    </row>
    <row r="40" spans="1:7" ht="20.100000000000001" customHeight="1" x14ac:dyDescent="0.25">
      <c r="A40" s="7" t="s">
        <v>108</v>
      </c>
      <c r="B40" s="8" t="s">
        <v>109</v>
      </c>
      <c r="C40" s="9">
        <v>30000</v>
      </c>
      <c r="D40" s="9">
        <v>12000</v>
      </c>
      <c r="E40" s="9">
        <f t="shared" si="3"/>
        <v>42000</v>
      </c>
      <c r="F40" s="10">
        <f t="shared" si="4"/>
        <v>-18000</v>
      </c>
      <c r="G40" s="11">
        <f t="shared" si="5"/>
        <v>-0.6</v>
      </c>
    </row>
    <row r="41" spans="1:7" ht="20.100000000000001" customHeight="1" x14ac:dyDescent="0.25">
      <c r="A41" s="2" t="s">
        <v>110</v>
      </c>
      <c r="B41" s="3" t="s">
        <v>111</v>
      </c>
      <c r="C41" s="4">
        <v>26000</v>
      </c>
      <c r="D41" s="4">
        <v>16000</v>
      </c>
      <c r="E41" s="4">
        <f t="shared" si="3"/>
        <v>42000</v>
      </c>
      <c r="F41" s="5">
        <f t="shared" si="4"/>
        <v>-10000</v>
      </c>
      <c r="G41" s="6">
        <f t="shared" si="5"/>
        <v>-0.38461538461538464</v>
      </c>
    </row>
    <row r="42" spans="1:7" ht="20.100000000000001" customHeight="1" x14ac:dyDescent="0.25">
      <c r="A42" s="7" t="s">
        <v>112</v>
      </c>
      <c r="B42" s="8" t="s">
        <v>113</v>
      </c>
      <c r="C42" s="9">
        <v>42000</v>
      </c>
      <c r="D42" s="9">
        <v>0</v>
      </c>
      <c r="E42" s="9">
        <f t="shared" si="3"/>
        <v>42000</v>
      </c>
      <c r="F42" s="10">
        <f t="shared" si="4"/>
        <v>-42000</v>
      </c>
      <c r="G42" s="11">
        <f t="shared" si="5"/>
        <v>-1</v>
      </c>
    </row>
    <row r="43" spans="1:7" ht="20.100000000000001" customHeight="1" x14ac:dyDescent="0.25">
      <c r="A43" s="2" t="s">
        <v>114</v>
      </c>
      <c r="B43" s="3" t="s">
        <v>115</v>
      </c>
      <c r="C43" s="4">
        <v>20000</v>
      </c>
      <c r="D43" s="4">
        <v>20000</v>
      </c>
      <c r="E43" s="4">
        <f t="shared" si="3"/>
        <v>40000</v>
      </c>
      <c r="F43" s="5">
        <f t="shared" si="4"/>
        <v>0</v>
      </c>
      <c r="G43" s="6">
        <f t="shared" si="5"/>
        <v>0</v>
      </c>
    </row>
    <row r="44" spans="1:7" ht="20.100000000000001" customHeight="1" x14ac:dyDescent="0.25">
      <c r="A44" s="7" t="s">
        <v>116</v>
      </c>
      <c r="B44" s="8" t="s">
        <v>117</v>
      </c>
      <c r="C44" s="9">
        <v>35500</v>
      </c>
      <c r="D44" s="9">
        <v>0</v>
      </c>
      <c r="E44" s="9">
        <f t="shared" si="3"/>
        <v>35500</v>
      </c>
      <c r="F44" s="10">
        <f t="shared" si="4"/>
        <v>-35500</v>
      </c>
      <c r="G44" s="11">
        <f t="shared" si="5"/>
        <v>-1</v>
      </c>
    </row>
    <row r="45" spans="1:7" ht="20.100000000000001" customHeight="1" x14ac:dyDescent="0.25">
      <c r="A45" s="2" t="s">
        <v>118</v>
      </c>
      <c r="B45" s="3" t="s">
        <v>119</v>
      </c>
      <c r="C45" s="4">
        <v>10000</v>
      </c>
      <c r="D45" s="4">
        <v>25000</v>
      </c>
      <c r="E45" s="4">
        <f t="shared" si="3"/>
        <v>35000</v>
      </c>
      <c r="F45" s="5">
        <f t="shared" si="4"/>
        <v>15000</v>
      </c>
      <c r="G45" s="6">
        <f t="shared" si="5"/>
        <v>1.5</v>
      </c>
    </row>
    <row r="46" spans="1:7" ht="20.100000000000001" customHeight="1" x14ac:dyDescent="0.25">
      <c r="A46" s="7" t="s">
        <v>81</v>
      </c>
      <c r="B46" s="8" t="s">
        <v>82</v>
      </c>
      <c r="C46" s="9">
        <v>34000</v>
      </c>
      <c r="D46" s="9">
        <v>0</v>
      </c>
      <c r="E46" s="9">
        <f t="shared" si="3"/>
        <v>34000</v>
      </c>
      <c r="F46" s="10">
        <f t="shared" si="4"/>
        <v>-34000</v>
      </c>
      <c r="G46" s="11">
        <f t="shared" si="5"/>
        <v>-1</v>
      </c>
    </row>
    <row r="47" spans="1:7" ht="20.100000000000001" customHeight="1" x14ac:dyDescent="0.25">
      <c r="A47" s="2" t="s">
        <v>122</v>
      </c>
      <c r="B47" s="3" t="s">
        <v>123</v>
      </c>
      <c r="C47" s="4">
        <v>8000</v>
      </c>
      <c r="D47" s="4">
        <v>24500</v>
      </c>
      <c r="E47" s="4">
        <f t="shared" si="3"/>
        <v>32500</v>
      </c>
      <c r="F47" s="5">
        <f t="shared" si="4"/>
        <v>16500</v>
      </c>
      <c r="G47" s="6">
        <f t="shared" si="5"/>
        <v>2.0625</v>
      </c>
    </row>
    <row r="48" spans="1:7" ht="20.100000000000001" customHeight="1" x14ac:dyDescent="0.25">
      <c r="A48" s="7" t="s">
        <v>124</v>
      </c>
      <c r="B48" s="8" t="s">
        <v>125</v>
      </c>
      <c r="C48" s="9">
        <v>24000</v>
      </c>
      <c r="D48" s="9">
        <v>7000</v>
      </c>
      <c r="E48" s="9">
        <f t="shared" si="3"/>
        <v>31000</v>
      </c>
      <c r="F48" s="10">
        <f t="shared" si="4"/>
        <v>-17000</v>
      </c>
      <c r="G48" s="11">
        <f t="shared" si="5"/>
        <v>-0.70833333333333337</v>
      </c>
    </row>
    <row r="49" spans="1:7" ht="20.100000000000001" customHeight="1" x14ac:dyDescent="0.25">
      <c r="A49" s="2" t="s">
        <v>128</v>
      </c>
      <c r="B49" s="3" t="s">
        <v>129</v>
      </c>
      <c r="C49" s="4">
        <v>20000</v>
      </c>
      <c r="D49" s="4">
        <v>10000</v>
      </c>
      <c r="E49" s="4">
        <f t="shared" si="3"/>
        <v>30000</v>
      </c>
      <c r="F49" s="5">
        <f t="shared" si="4"/>
        <v>-10000</v>
      </c>
      <c r="G49" s="6">
        <f t="shared" si="5"/>
        <v>-0.5</v>
      </c>
    </row>
    <row r="50" spans="1:7" ht="20.100000000000001" customHeight="1" x14ac:dyDescent="0.25">
      <c r="A50" s="7" t="s">
        <v>130</v>
      </c>
      <c r="B50" s="8" t="s">
        <v>131</v>
      </c>
      <c r="C50" s="9">
        <v>20000</v>
      </c>
      <c r="D50" s="9">
        <v>10000</v>
      </c>
      <c r="E50" s="9">
        <f t="shared" si="3"/>
        <v>30000</v>
      </c>
      <c r="F50" s="10">
        <f t="shared" si="4"/>
        <v>-10000</v>
      </c>
      <c r="G50" s="11">
        <f t="shared" si="5"/>
        <v>-0.5</v>
      </c>
    </row>
    <row r="51" spans="1:7" ht="20.100000000000001" customHeight="1" x14ac:dyDescent="0.25">
      <c r="A51" s="2" t="s">
        <v>132</v>
      </c>
      <c r="B51" s="3" t="s">
        <v>133</v>
      </c>
      <c r="C51" s="4">
        <v>20000</v>
      </c>
      <c r="D51" s="4">
        <v>10000</v>
      </c>
      <c r="E51" s="4">
        <f t="shared" si="3"/>
        <v>30000</v>
      </c>
      <c r="F51" s="5">
        <f t="shared" si="4"/>
        <v>-10000</v>
      </c>
      <c r="G51" s="6">
        <f t="shared" si="5"/>
        <v>-0.5</v>
      </c>
    </row>
    <row r="52" spans="1:7" ht="20.100000000000001" customHeight="1" x14ac:dyDescent="0.25">
      <c r="A52" s="7" t="s">
        <v>134</v>
      </c>
      <c r="B52" s="8" t="s">
        <v>135</v>
      </c>
      <c r="C52" s="9">
        <v>20000</v>
      </c>
      <c r="D52" s="9">
        <v>10000</v>
      </c>
      <c r="E52" s="9">
        <f t="shared" si="3"/>
        <v>30000</v>
      </c>
      <c r="F52" s="10">
        <f t="shared" si="4"/>
        <v>-10000</v>
      </c>
      <c r="G52" s="11">
        <f t="shared" si="5"/>
        <v>-0.5</v>
      </c>
    </row>
    <row r="53" spans="1:7" ht="20.100000000000001" customHeight="1" x14ac:dyDescent="0.25">
      <c r="A53" s="2" t="s">
        <v>136</v>
      </c>
      <c r="B53" s="3" t="s">
        <v>137</v>
      </c>
      <c r="C53" s="4">
        <v>0</v>
      </c>
      <c r="D53" s="4">
        <v>30000</v>
      </c>
      <c r="E53" s="4">
        <f t="shared" si="3"/>
        <v>30000</v>
      </c>
      <c r="F53" s="5">
        <f t="shared" si="4"/>
        <v>30000</v>
      </c>
      <c r="G53" s="6" t="str">
        <f t="shared" si="5"/>
        <v/>
      </c>
    </row>
    <row r="54" spans="1:7" ht="20.100000000000001" customHeight="1" x14ac:dyDescent="0.25">
      <c r="A54" s="7" t="s">
        <v>138</v>
      </c>
      <c r="B54" s="8" t="s">
        <v>139</v>
      </c>
      <c r="C54" s="9">
        <v>30000</v>
      </c>
      <c r="D54" s="9">
        <v>0</v>
      </c>
      <c r="E54" s="9">
        <f t="shared" si="3"/>
        <v>30000</v>
      </c>
      <c r="F54" s="10">
        <f t="shared" si="4"/>
        <v>-30000</v>
      </c>
      <c r="G54" s="11">
        <f t="shared" si="5"/>
        <v>-1</v>
      </c>
    </row>
    <row r="55" spans="1:7" ht="20.100000000000001" customHeight="1" x14ac:dyDescent="0.25">
      <c r="A55" s="2" t="s">
        <v>140</v>
      </c>
      <c r="B55" s="3" t="s">
        <v>141</v>
      </c>
      <c r="C55" s="4">
        <v>0</v>
      </c>
      <c r="D55" s="4">
        <v>29000</v>
      </c>
      <c r="E55" s="4">
        <f t="shared" si="3"/>
        <v>29000</v>
      </c>
      <c r="F55" s="5">
        <f t="shared" si="4"/>
        <v>29000</v>
      </c>
      <c r="G55" s="6" t="str">
        <f t="shared" si="5"/>
        <v/>
      </c>
    </row>
    <row r="56" spans="1:7" ht="20.100000000000001" customHeight="1" x14ac:dyDescent="0.25">
      <c r="A56" s="7" t="s">
        <v>120</v>
      </c>
      <c r="B56" s="8" t="s">
        <v>121</v>
      </c>
      <c r="C56" s="9">
        <v>20000</v>
      </c>
      <c r="D56" s="9">
        <v>8500</v>
      </c>
      <c r="E56" s="9">
        <f t="shared" si="3"/>
        <v>28500</v>
      </c>
      <c r="F56" s="10">
        <f t="shared" si="4"/>
        <v>-11500</v>
      </c>
      <c r="G56" s="11">
        <f t="shared" si="5"/>
        <v>-0.57499999999999996</v>
      </c>
    </row>
    <row r="57" spans="1:7" ht="20.100000000000001" customHeight="1" x14ac:dyDescent="0.25">
      <c r="A57" s="2" t="s">
        <v>142</v>
      </c>
      <c r="B57" s="3" t="s">
        <v>143</v>
      </c>
      <c r="C57" s="4">
        <v>21000</v>
      </c>
      <c r="D57" s="4">
        <v>6552</v>
      </c>
      <c r="E57" s="4">
        <f t="shared" si="3"/>
        <v>27552</v>
      </c>
      <c r="F57" s="5">
        <f t="shared" si="4"/>
        <v>-14448</v>
      </c>
      <c r="G57" s="6">
        <f t="shared" si="5"/>
        <v>-0.68799999999999994</v>
      </c>
    </row>
    <row r="58" spans="1:7" ht="20.100000000000001" customHeight="1" x14ac:dyDescent="0.25">
      <c r="A58" s="7" t="s">
        <v>150</v>
      </c>
      <c r="B58" s="8" t="s">
        <v>151</v>
      </c>
      <c r="C58" s="9">
        <v>16000</v>
      </c>
      <c r="D58" s="9">
        <v>10000</v>
      </c>
      <c r="E58" s="9">
        <f t="shared" si="3"/>
        <v>26000</v>
      </c>
      <c r="F58" s="10">
        <f t="shared" si="4"/>
        <v>-6000</v>
      </c>
      <c r="G58" s="11">
        <f t="shared" si="5"/>
        <v>-0.375</v>
      </c>
    </row>
    <row r="59" spans="1:7" ht="20.100000000000001" customHeight="1" x14ac:dyDescent="0.25">
      <c r="A59" s="2" t="s">
        <v>152</v>
      </c>
      <c r="B59" s="3" t="s">
        <v>153</v>
      </c>
      <c r="C59" s="4">
        <v>500</v>
      </c>
      <c r="D59" s="4">
        <v>25000</v>
      </c>
      <c r="E59" s="4">
        <f t="shared" si="3"/>
        <v>25500</v>
      </c>
      <c r="F59" s="5">
        <f t="shared" si="4"/>
        <v>24500</v>
      </c>
      <c r="G59" s="6">
        <f t="shared" si="5"/>
        <v>49</v>
      </c>
    </row>
    <row r="60" spans="1:7" ht="20.100000000000001" customHeight="1" x14ac:dyDescent="0.25">
      <c r="A60" s="7" t="s">
        <v>126</v>
      </c>
      <c r="B60" s="8" t="s">
        <v>127</v>
      </c>
      <c r="C60" s="9">
        <v>0</v>
      </c>
      <c r="D60" s="9">
        <v>25000</v>
      </c>
      <c r="E60" s="9">
        <f t="shared" si="3"/>
        <v>25000</v>
      </c>
      <c r="F60" s="10">
        <f t="shared" si="4"/>
        <v>25000</v>
      </c>
      <c r="G60" s="11" t="str">
        <f t="shared" si="5"/>
        <v/>
      </c>
    </row>
    <row r="61" spans="1:7" ht="20.100000000000001" customHeight="1" x14ac:dyDescent="0.25">
      <c r="A61" s="2" t="s">
        <v>154</v>
      </c>
      <c r="B61" s="3" t="s">
        <v>155</v>
      </c>
      <c r="C61" s="4">
        <v>19000</v>
      </c>
      <c r="D61" s="4">
        <v>6000</v>
      </c>
      <c r="E61" s="4">
        <f t="shared" si="3"/>
        <v>25000</v>
      </c>
      <c r="F61" s="5">
        <f t="shared" si="4"/>
        <v>-13000</v>
      </c>
      <c r="G61" s="6">
        <f t="shared" si="5"/>
        <v>-0.68421052631578949</v>
      </c>
    </row>
    <row r="62" spans="1:7" ht="20.100000000000001" customHeight="1" x14ac:dyDescent="0.25">
      <c r="A62" s="7" t="s">
        <v>148</v>
      </c>
      <c r="B62" s="8" t="s">
        <v>149</v>
      </c>
      <c r="C62" s="9">
        <v>25000</v>
      </c>
      <c r="D62" s="9">
        <v>0</v>
      </c>
      <c r="E62" s="9">
        <f t="shared" si="3"/>
        <v>25000</v>
      </c>
      <c r="F62" s="10">
        <f t="shared" si="4"/>
        <v>-25000</v>
      </c>
      <c r="G62" s="11">
        <f t="shared" si="5"/>
        <v>-1</v>
      </c>
    </row>
    <row r="63" spans="1:7" ht="20.100000000000001" customHeight="1" x14ac:dyDescent="0.25">
      <c r="A63" s="2" t="s">
        <v>158</v>
      </c>
      <c r="B63" s="3" t="s">
        <v>159</v>
      </c>
      <c r="C63" s="4">
        <v>20000</v>
      </c>
      <c r="D63" s="4">
        <v>3000</v>
      </c>
      <c r="E63" s="4">
        <f t="shared" si="3"/>
        <v>23000</v>
      </c>
      <c r="F63" s="5">
        <f t="shared" si="4"/>
        <v>-17000</v>
      </c>
      <c r="G63" s="6">
        <f t="shared" si="5"/>
        <v>-0.85</v>
      </c>
    </row>
    <row r="64" spans="1:7" ht="20.100000000000001" customHeight="1" x14ac:dyDescent="0.25">
      <c r="A64" s="7" t="s">
        <v>162</v>
      </c>
      <c r="B64" s="8" t="s">
        <v>163</v>
      </c>
      <c r="C64" s="9">
        <v>22500</v>
      </c>
      <c r="D64" s="9">
        <v>0</v>
      </c>
      <c r="E64" s="9">
        <f t="shared" si="3"/>
        <v>22500</v>
      </c>
      <c r="F64" s="10">
        <f t="shared" si="4"/>
        <v>-22500</v>
      </c>
      <c r="G64" s="11">
        <f t="shared" si="5"/>
        <v>-1</v>
      </c>
    </row>
    <row r="65" spans="1:7" ht="20.100000000000001" customHeight="1" x14ac:dyDescent="0.25">
      <c r="A65" s="2" t="s">
        <v>164</v>
      </c>
      <c r="B65" s="3" t="s">
        <v>165</v>
      </c>
      <c r="C65" s="4">
        <v>22000</v>
      </c>
      <c r="D65" s="4">
        <v>0</v>
      </c>
      <c r="E65" s="4">
        <f t="shared" si="3"/>
        <v>22000</v>
      </c>
      <c r="F65" s="5">
        <f t="shared" si="4"/>
        <v>-22000</v>
      </c>
      <c r="G65" s="6">
        <f t="shared" si="5"/>
        <v>-1</v>
      </c>
    </row>
    <row r="66" spans="1:7" ht="20.100000000000001" customHeight="1" x14ac:dyDescent="0.25">
      <c r="A66" s="7" t="s">
        <v>166</v>
      </c>
      <c r="B66" s="8" t="s">
        <v>167</v>
      </c>
      <c r="C66" s="9">
        <v>9500</v>
      </c>
      <c r="D66" s="9">
        <v>12000</v>
      </c>
      <c r="E66" s="9">
        <f t="shared" si="3"/>
        <v>21500</v>
      </c>
      <c r="F66" s="10">
        <f t="shared" si="4"/>
        <v>2500</v>
      </c>
      <c r="G66" s="11">
        <f t="shared" si="5"/>
        <v>0.26315789473684209</v>
      </c>
    </row>
    <row r="67" spans="1:7" ht="20.100000000000001" customHeight="1" x14ac:dyDescent="0.25">
      <c r="A67" s="2" t="s">
        <v>168</v>
      </c>
      <c r="B67" s="3" t="s">
        <v>169</v>
      </c>
      <c r="C67" s="4">
        <v>17000</v>
      </c>
      <c r="D67" s="4">
        <v>4000</v>
      </c>
      <c r="E67" s="4">
        <f t="shared" si="3"/>
        <v>21000</v>
      </c>
      <c r="F67" s="5">
        <f t="shared" si="4"/>
        <v>-13000</v>
      </c>
      <c r="G67" s="6">
        <f t="shared" si="5"/>
        <v>-0.76470588235294112</v>
      </c>
    </row>
    <row r="68" spans="1:7" ht="20.100000000000001" customHeight="1" x14ac:dyDescent="0.25">
      <c r="A68" s="7" t="s">
        <v>172</v>
      </c>
      <c r="B68" s="8" t="s">
        <v>173</v>
      </c>
      <c r="C68" s="9">
        <v>9000</v>
      </c>
      <c r="D68" s="9">
        <v>11500</v>
      </c>
      <c r="E68" s="9">
        <f t="shared" si="3"/>
        <v>20500</v>
      </c>
      <c r="F68" s="10">
        <f t="shared" si="4"/>
        <v>2500</v>
      </c>
      <c r="G68" s="11">
        <f t="shared" si="5"/>
        <v>0.27777777777777779</v>
      </c>
    </row>
    <row r="69" spans="1:7" ht="20.100000000000001" customHeight="1" x14ac:dyDescent="0.25">
      <c r="A69" s="2" t="s">
        <v>176</v>
      </c>
      <c r="B69" s="3" t="s">
        <v>177</v>
      </c>
      <c r="C69" s="4">
        <v>0</v>
      </c>
      <c r="D69" s="4">
        <v>20000</v>
      </c>
      <c r="E69" s="4">
        <f t="shared" ref="E69:E100" si="6">C69+D69</f>
        <v>20000</v>
      </c>
      <c r="F69" s="5">
        <f t="shared" ref="F69:F100" si="7">D69-C69</f>
        <v>20000</v>
      </c>
      <c r="G69" s="6" t="str">
        <f t="shared" ref="G69:G100" si="8">IF(C69&gt;0, (D69-C69)/C69, "")</f>
        <v/>
      </c>
    </row>
    <row r="70" spans="1:7" ht="20.100000000000001" customHeight="1" x14ac:dyDescent="0.25">
      <c r="A70" s="7" t="s">
        <v>178</v>
      </c>
      <c r="B70" s="8" t="s">
        <v>179</v>
      </c>
      <c r="C70" s="9">
        <v>20000</v>
      </c>
      <c r="D70" s="9">
        <v>0</v>
      </c>
      <c r="E70" s="9">
        <f t="shared" si="6"/>
        <v>20000</v>
      </c>
      <c r="F70" s="10">
        <f t="shared" si="7"/>
        <v>-20000</v>
      </c>
      <c r="G70" s="11">
        <f t="shared" si="8"/>
        <v>-1</v>
      </c>
    </row>
    <row r="71" spans="1:7" ht="20.100000000000001" customHeight="1" x14ac:dyDescent="0.25">
      <c r="A71" s="2" t="s">
        <v>180</v>
      </c>
      <c r="B71" s="3" t="s">
        <v>181</v>
      </c>
      <c r="C71" s="4">
        <v>20000</v>
      </c>
      <c r="D71" s="4">
        <v>0</v>
      </c>
      <c r="E71" s="4">
        <f t="shared" si="6"/>
        <v>20000</v>
      </c>
      <c r="F71" s="5">
        <f t="shared" si="7"/>
        <v>-20000</v>
      </c>
      <c r="G71" s="6">
        <f t="shared" si="8"/>
        <v>-1</v>
      </c>
    </row>
    <row r="72" spans="1:7" ht="20.100000000000001" customHeight="1" x14ac:dyDescent="0.25">
      <c r="A72" s="7" t="s">
        <v>156</v>
      </c>
      <c r="B72" s="8" t="s">
        <v>157</v>
      </c>
      <c r="C72" s="9">
        <v>20000</v>
      </c>
      <c r="D72" s="9">
        <v>0</v>
      </c>
      <c r="E72" s="9">
        <f t="shared" si="6"/>
        <v>20000</v>
      </c>
      <c r="F72" s="10">
        <f t="shared" si="7"/>
        <v>-20000</v>
      </c>
      <c r="G72" s="11">
        <f t="shared" si="8"/>
        <v>-1</v>
      </c>
    </row>
    <row r="73" spans="1:7" ht="20.100000000000001" customHeight="1" x14ac:dyDescent="0.25">
      <c r="A73" s="2" t="s">
        <v>184</v>
      </c>
      <c r="B73" s="3" t="s">
        <v>185</v>
      </c>
      <c r="C73" s="4">
        <v>20000</v>
      </c>
      <c r="D73" s="4">
        <v>0</v>
      </c>
      <c r="E73" s="4">
        <f t="shared" si="6"/>
        <v>20000</v>
      </c>
      <c r="F73" s="5">
        <f t="shared" si="7"/>
        <v>-20000</v>
      </c>
      <c r="G73" s="6">
        <f t="shared" si="8"/>
        <v>-1</v>
      </c>
    </row>
    <row r="74" spans="1:7" ht="20.100000000000001" customHeight="1" x14ac:dyDescent="0.25">
      <c r="A74" s="7" t="s">
        <v>174</v>
      </c>
      <c r="B74" s="8" t="s">
        <v>175</v>
      </c>
      <c r="C74" s="9">
        <v>9500</v>
      </c>
      <c r="D74" s="9">
        <v>9500</v>
      </c>
      <c r="E74" s="9">
        <f t="shared" si="6"/>
        <v>19000</v>
      </c>
      <c r="F74" s="10">
        <f t="shared" si="7"/>
        <v>0</v>
      </c>
      <c r="G74" s="11">
        <f t="shared" si="8"/>
        <v>0</v>
      </c>
    </row>
    <row r="75" spans="1:7" ht="20.100000000000001" customHeight="1" x14ac:dyDescent="0.25">
      <c r="A75" s="2" t="s">
        <v>191</v>
      </c>
      <c r="B75" s="3" t="s">
        <v>192</v>
      </c>
      <c r="C75" s="4">
        <v>9000</v>
      </c>
      <c r="D75" s="4">
        <v>9500</v>
      </c>
      <c r="E75" s="4">
        <f t="shared" si="6"/>
        <v>18500</v>
      </c>
      <c r="F75" s="5">
        <f t="shared" si="7"/>
        <v>500</v>
      </c>
      <c r="G75" s="6">
        <f t="shared" si="8"/>
        <v>5.5555555555555552E-2</v>
      </c>
    </row>
    <row r="76" spans="1:7" ht="20.100000000000001" customHeight="1" x14ac:dyDescent="0.25">
      <c r="A76" s="7" t="s">
        <v>188</v>
      </c>
      <c r="B76" s="8" t="s">
        <v>189</v>
      </c>
      <c r="C76" s="9">
        <v>16500</v>
      </c>
      <c r="D76" s="9">
        <v>2000</v>
      </c>
      <c r="E76" s="9">
        <f t="shared" si="6"/>
        <v>18500</v>
      </c>
      <c r="F76" s="10">
        <f t="shared" si="7"/>
        <v>-14500</v>
      </c>
      <c r="G76" s="11">
        <f t="shared" si="8"/>
        <v>-0.87878787878787878</v>
      </c>
    </row>
    <row r="77" spans="1:7" ht="20.100000000000001" customHeight="1" x14ac:dyDescent="0.25">
      <c r="A77" s="2" t="s">
        <v>193</v>
      </c>
      <c r="B77" s="3" t="s">
        <v>194</v>
      </c>
      <c r="C77" s="4">
        <v>15000</v>
      </c>
      <c r="D77" s="4">
        <v>3000</v>
      </c>
      <c r="E77" s="4">
        <f t="shared" si="6"/>
        <v>18000</v>
      </c>
      <c r="F77" s="5">
        <f t="shared" si="7"/>
        <v>-12000</v>
      </c>
      <c r="G77" s="6">
        <f t="shared" si="8"/>
        <v>-0.8</v>
      </c>
    </row>
    <row r="78" spans="1:7" ht="20.100000000000001" customHeight="1" x14ac:dyDescent="0.25">
      <c r="A78" s="7" t="s">
        <v>195</v>
      </c>
      <c r="B78" s="8" t="s">
        <v>196</v>
      </c>
      <c r="C78" s="9">
        <v>15000</v>
      </c>
      <c r="D78" s="9">
        <v>3000</v>
      </c>
      <c r="E78" s="9">
        <f t="shared" si="6"/>
        <v>18000</v>
      </c>
      <c r="F78" s="10">
        <f t="shared" si="7"/>
        <v>-12000</v>
      </c>
      <c r="G78" s="11">
        <f t="shared" si="8"/>
        <v>-0.8</v>
      </c>
    </row>
    <row r="79" spans="1:7" ht="20.100000000000001" customHeight="1" x14ac:dyDescent="0.25">
      <c r="A79" s="2" t="s">
        <v>199</v>
      </c>
      <c r="B79" s="3" t="s">
        <v>200</v>
      </c>
      <c r="C79" s="4">
        <v>13500</v>
      </c>
      <c r="D79" s="4">
        <v>4000</v>
      </c>
      <c r="E79" s="4">
        <f t="shared" si="6"/>
        <v>17500</v>
      </c>
      <c r="F79" s="5">
        <f t="shared" si="7"/>
        <v>-9500</v>
      </c>
      <c r="G79" s="6">
        <f t="shared" si="8"/>
        <v>-0.70370370370370372</v>
      </c>
    </row>
    <row r="80" spans="1:7" ht="20.100000000000001" customHeight="1" x14ac:dyDescent="0.25">
      <c r="A80" s="7" t="s">
        <v>203</v>
      </c>
      <c r="B80" s="8" t="s">
        <v>204</v>
      </c>
      <c r="C80" s="9">
        <v>11000</v>
      </c>
      <c r="D80" s="9">
        <v>6000</v>
      </c>
      <c r="E80" s="9">
        <f t="shared" si="6"/>
        <v>17000</v>
      </c>
      <c r="F80" s="10">
        <f t="shared" si="7"/>
        <v>-5000</v>
      </c>
      <c r="G80" s="11">
        <f t="shared" si="8"/>
        <v>-0.45454545454545453</v>
      </c>
    </row>
    <row r="81" spans="1:7" ht="20.100000000000001" customHeight="1" x14ac:dyDescent="0.25">
      <c r="A81" s="2" t="s">
        <v>205</v>
      </c>
      <c r="B81" s="3" t="s">
        <v>206</v>
      </c>
      <c r="C81" s="4">
        <v>4000</v>
      </c>
      <c r="D81" s="4">
        <v>12000</v>
      </c>
      <c r="E81" s="4">
        <f t="shared" si="6"/>
        <v>16000</v>
      </c>
      <c r="F81" s="5">
        <f t="shared" si="7"/>
        <v>8000</v>
      </c>
      <c r="G81" s="6">
        <f t="shared" si="8"/>
        <v>2</v>
      </c>
    </row>
    <row r="82" spans="1:7" ht="20.100000000000001" customHeight="1" x14ac:dyDescent="0.25">
      <c r="A82" s="7" t="s">
        <v>207</v>
      </c>
      <c r="B82" s="8" t="s">
        <v>208</v>
      </c>
      <c r="C82" s="9">
        <v>15000</v>
      </c>
      <c r="D82" s="9">
        <v>1000</v>
      </c>
      <c r="E82" s="9">
        <f t="shared" si="6"/>
        <v>16000</v>
      </c>
      <c r="F82" s="10">
        <f t="shared" si="7"/>
        <v>-14000</v>
      </c>
      <c r="G82" s="11">
        <f t="shared" si="8"/>
        <v>-0.93333333333333335</v>
      </c>
    </row>
    <row r="83" spans="1:7" ht="20.100000000000001" customHeight="1" x14ac:dyDescent="0.25">
      <c r="A83" s="2" t="s">
        <v>209</v>
      </c>
      <c r="B83" s="3" t="s">
        <v>210</v>
      </c>
      <c r="C83" s="4">
        <v>8000</v>
      </c>
      <c r="D83" s="4">
        <v>7000</v>
      </c>
      <c r="E83" s="4">
        <f t="shared" si="6"/>
        <v>15000</v>
      </c>
      <c r="F83" s="5">
        <f t="shared" si="7"/>
        <v>-1000</v>
      </c>
      <c r="G83" s="6">
        <f t="shared" si="8"/>
        <v>-0.125</v>
      </c>
    </row>
    <row r="84" spans="1:7" ht="20.100000000000001" customHeight="1" x14ac:dyDescent="0.25">
      <c r="A84" s="7" t="s">
        <v>211</v>
      </c>
      <c r="B84" s="8" t="s">
        <v>212</v>
      </c>
      <c r="C84" s="9">
        <v>0</v>
      </c>
      <c r="D84" s="9">
        <v>15000</v>
      </c>
      <c r="E84" s="9">
        <f t="shared" si="6"/>
        <v>15000</v>
      </c>
      <c r="F84" s="10">
        <f t="shared" si="7"/>
        <v>15000</v>
      </c>
      <c r="G84" s="11" t="str">
        <f t="shared" si="8"/>
        <v/>
      </c>
    </row>
    <row r="85" spans="1:7" ht="20.100000000000001" customHeight="1" x14ac:dyDescent="0.25">
      <c r="A85" s="2" t="s">
        <v>213</v>
      </c>
      <c r="B85" s="3" t="s">
        <v>214</v>
      </c>
      <c r="C85" s="4">
        <v>15000</v>
      </c>
      <c r="D85" s="4">
        <v>0</v>
      </c>
      <c r="E85" s="4">
        <f t="shared" si="6"/>
        <v>15000</v>
      </c>
      <c r="F85" s="5">
        <f t="shared" si="7"/>
        <v>-15000</v>
      </c>
      <c r="G85" s="6">
        <f t="shared" si="8"/>
        <v>-1</v>
      </c>
    </row>
    <row r="86" spans="1:7" ht="20.100000000000001" customHeight="1" x14ac:dyDescent="0.25">
      <c r="A86" s="7" t="s">
        <v>215</v>
      </c>
      <c r="B86" s="8" t="s">
        <v>216</v>
      </c>
      <c r="C86" s="9">
        <v>15000</v>
      </c>
      <c r="D86" s="9">
        <v>0</v>
      </c>
      <c r="E86" s="9">
        <f t="shared" si="6"/>
        <v>15000</v>
      </c>
      <c r="F86" s="10">
        <f t="shared" si="7"/>
        <v>-15000</v>
      </c>
      <c r="G86" s="11">
        <f t="shared" si="8"/>
        <v>-1</v>
      </c>
    </row>
    <row r="87" spans="1:7" ht="20.100000000000001" customHeight="1" x14ac:dyDescent="0.25">
      <c r="A87" s="2" t="s">
        <v>217</v>
      </c>
      <c r="B87" s="3" t="s">
        <v>218</v>
      </c>
      <c r="C87" s="4">
        <v>15000</v>
      </c>
      <c r="D87" s="4">
        <v>0</v>
      </c>
      <c r="E87" s="4">
        <f t="shared" si="6"/>
        <v>15000</v>
      </c>
      <c r="F87" s="5">
        <f t="shared" si="7"/>
        <v>-15000</v>
      </c>
      <c r="G87" s="6">
        <f t="shared" si="8"/>
        <v>-1</v>
      </c>
    </row>
    <row r="88" spans="1:7" ht="20.100000000000001" customHeight="1" x14ac:dyDescent="0.25">
      <c r="A88" s="7" t="s">
        <v>219</v>
      </c>
      <c r="B88" s="8" t="s">
        <v>220</v>
      </c>
      <c r="C88" s="9">
        <v>15000</v>
      </c>
      <c r="D88" s="9">
        <v>0</v>
      </c>
      <c r="E88" s="9">
        <f t="shared" si="6"/>
        <v>15000</v>
      </c>
      <c r="F88" s="10">
        <f t="shared" si="7"/>
        <v>-15000</v>
      </c>
      <c r="G88" s="11">
        <f t="shared" si="8"/>
        <v>-1</v>
      </c>
    </row>
    <row r="89" spans="1:7" ht="20.100000000000001" customHeight="1" x14ac:dyDescent="0.25">
      <c r="A89" s="2" t="s">
        <v>59</v>
      </c>
      <c r="B89" s="3" t="s">
        <v>60</v>
      </c>
      <c r="C89" s="4">
        <v>14000</v>
      </c>
      <c r="D89" s="4">
        <v>0</v>
      </c>
      <c r="E89" s="4">
        <f t="shared" si="6"/>
        <v>14000</v>
      </c>
      <c r="F89" s="5">
        <f t="shared" si="7"/>
        <v>-14000</v>
      </c>
      <c r="G89" s="6">
        <f t="shared" si="8"/>
        <v>-1</v>
      </c>
    </row>
    <row r="90" spans="1:7" ht="20.100000000000001" customHeight="1" x14ac:dyDescent="0.25">
      <c r="A90" s="7" t="s">
        <v>221</v>
      </c>
      <c r="B90" s="8" t="s">
        <v>222</v>
      </c>
      <c r="C90" s="9">
        <v>2500</v>
      </c>
      <c r="D90" s="9">
        <v>10500</v>
      </c>
      <c r="E90" s="9">
        <f t="shared" si="6"/>
        <v>13000</v>
      </c>
      <c r="F90" s="10">
        <f t="shared" si="7"/>
        <v>8000</v>
      </c>
      <c r="G90" s="11">
        <f t="shared" si="8"/>
        <v>3.2</v>
      </c>
    </row>
    <row r="91" spans="1:7" ht="20.100000000000001" customHeight="1" x14ac:dyDescent="0.25">
      <c r="A91" s="2" t="s">
        <v>223</v>
      </c>
      <c r="B91" s="3" t="s">
        <v>224</v>
      </c>
      <c r="C91" s="4">
        <v>7000</v>
      </c>
      <c r="D91" s="4">
        <v>6000</v>
      </c>
      <c r="E91" s="4">
        <f t="shared" si="6"/>
        <v>13000</v>
      </c>
      <c r="F91" s="5">
        <f t="shared" si="7"/>
        <v>-1000</v>
      </c>
      <c r="G91" s="6">
        <f t="shared" si="8"/>
        <v>-0.14285714285714285</v>
      </c>
    </row>
    <row r="92" spans="1:7" ht="20.100000000000001" customHeight="1" x14ac:dyDescent="0.25">
      <c r="A92" s="7" t="s">
        <v>227</v>
      </c>
      <c r="B92" s="8" t="s">
        <v>228</v>
      </c>
      <c r="C92" s="9">
        <v>13000</v>
      </c>
      <c r="D92" s="9">
        <v>0</v>
      </c>
      <c r="E92" s="9">
        <f t="shared" si="6"/>
        <v>13000</v>
      </c>
      <c r="F92" s="10">
        <f t="shared" si="7"/>
        <v>-13000</v>
      </c>
      <c r="G92" s="11">
        <f t="shared" si="8"/>
        <v>-1</v>
      </c>
    </row>
    <row r="93" spans="1:7" ht="20.100000000000001" customHeight="1" x14ac:dyDescent="0.25">
      <c r="A93" s="2" t="s">
        <v>144</v>
      </c>
      <c r="B93" s="3" t="s">
        <v>145</v>
      </c>
      <c r="C93" s="4">
        <v>9374</v>
      </c>
      <c r="D93" s="4">
        <v>3000</v>
      </c>
      <c r="E93" s="4">
        <f t="shared" si="6"/>
        <v>12374</v>
      </c>
      <c r="F93" s="5">
        <f t="shared" si="7"/>
        <v>-6374</v>
      </c>
      <c r="G93" s="6">
        <f t="shared" si="8"/>
        <v>-0.67996586302538942</v>
      </c>
    </row>
    <row r="94" spans="1:7" ht="20.100000000000001" customHeight="1" x14ac:dyDescent="0.25">
      <c r="A94" s="7" t="s">
        <v>229</v>
      </c>
      <c r="B94" s="8" t="s">
        <v>230</v>
      </c>
      <c r="C94" s="9">
        <v>0</v>
      </c>
      <c r="D94" s="9">
        <v>12000</v>
      </c>
      <c r="E94" s="9">
        <f t="shared" si="6"/>
        <v>12000</v>
      </c>
      <c r="F94" s="10">
        <f t="shared" si="7"/>
        <v>12000</v>
      </c>
      <c r="G94" s="11" t="str">
        <f t="shared" si="8"/>
        <v/>
      </c>
    </row>
    <row r="95" spans="1:7" ht="20.100000000000001" customHeight="1" x14ac:dyDescent="0.25">
      <c r="A95" s="2" t="s">
        <v>231</v>
      </c>
      <c r="B95" s="3" t="s">
        <v>232</v>
      </c>
      <c r="C95" s="4">
        <v>10000</v>
      </c>
      <c r="D95" s="4">
        <v>2000</v>
      </c>
      <c r="E95" s="4">
        <f t="shared" si="6"/>
        <v>12000</v>
      </c>
      <c r="F95" s="5">
        <f t="shared" si="7"/>
        <v>-8000</v>
      </c>
      <c r="G95" s="6">
        <f t="shared" si="8"/>
        <v>-0.8</v>
      </c>
    </row>
    <row r="96" spans="1:7" ht="20.100000000000001" customHeight="1" x14ac:dyDescent="0.25">
      <c r="A96" s="7" t="s">
        <v>233</v>
      </c>
      <c r="B96" s="8" t="s">
        <v>234</v>
      </c>
      <c r="C96" s="9">
        <v>10000</v>
      </c>
      <c r="D96" s="9">
        <v>2000</v>
      </c>
      <c r="E96" s="9">
        <f t="shared" si="6"/>
        <v>12000</v>
      </c>
      <c r="F96" s="10">
        <f t="shared" si="7"/>
        <v>-8000</v>
      </c>
      <c r="G96" s="11">
        <f t="shared" si="8"/>
        <v>-0.8</v>
      </c>
    </row>
    <row r="97" spans="1:7" ht="20.100000000000001" customHeight="1" x14ac:dyDescent="0.25">
      <c r="A97" s="2" t="s">
        <v>235</v>
      </c>
      <c r="B97" s="3" t="s">
        <v>236</v>
      </c>
      <c r="C97" s="4">
        <v>0</v>
      </c>
      <c r="D97" s="4">
        <v>12000</v>
      </c>
      <c r="E97" s="4">
        <f t="shared" si="6"/>
        <v>12000</v>
      </c>
      <c r="F97" s="5">
        <f t="shared" si="7"/>
        <v>12000</v>
      </c>
      <c r="G97" s="6" t="str">
        <f t="shared" si="8"/>
        <v/>
      </c>
    </row>
    <row r="98" spans="1:7" ht="20.100000000000001" customHeight="1" x14ac:dyDescent="0.25">
      <c r="A98" s="7" t="s">
        <v>170</v>
      </c>
      <c r="B98" s="8" t="s">
        <v>171</v>
      </c>
      <c r="C98" s="9">
        <v>11000</v>
      </c>
      <c r="D98" s="9">
        <v>0</v>
      </c>
      <c r="E98" s="9">
        <f t="shared" si="6"/>
        <v>11000</v>
      </c>
      <c r="F98" s="10">
        <f t="shared" si="7"/>
        <v>-11000</v>
      </c>
      <c r="G98" s="11">
        <f t="shared" si="8"/>
        <v>-1</v>
      </c>
    </row>
    <row r="99" spans="1:7" ht="20.100000000000001" customHeight="1" x14ac:dyDescent="0.25">
      <c r="A99" s="2" t="s">
        <v>241</v>
      </c>
      <c r="B99" s="3" t="s">
        <v>242</v>
      </c>
      <c r="C99" s="4">
        <v>3000</v>
      </c>
      <c r="D99" s="4">
        <v>7500</v>
      </c>
      <c r="E99" s="4">
        <f t="shared" si="6"/>
        <v>10500</v>
      </c>
      <c r="F99" s="5">
        <f t="shared" si="7"/>
        <v>4500</v>
      </c>
      <c r="G99" s="6">
        <f t="shared" si="8"/>
        <v>1.5</v>
      </c>
    </row>
    <row r="100" spans="1:7" ht="20.100000000000001" customHeight="1" x14ac:dyDescent="0.25">
      <c r="A100" s="7" t="s">
        <v>237</v>
      </c>
      <c r="B100" s="8" t="s">
        <v>238</v>
      </c>
      <c r="C100" s="9">
        <v>7500</v>
      </c>
      <c r="D100" s="9">
        <v>3000</v>
      </c>
      <c r="E100" s="9">
        <f t="shared" si="6"/>
        <v>10500</v>
      </c>
      <c r="F100" s="10">
        <f t="shared" si="7"/>
        <v>-4500</v>
      </c>
      <c r="G100" s="11">
        <f t="shared" si="8"/>
        <v>-0.6</v>
      </c>
    </row>
    <row r="101" spans="1:7" ht="20.100000000000001" customHeight="1" x14ac:dyDescent="0.25">
      <c r="A101" s="2" t="s">
        <v>243</v>
      </c>
      <c r="B101" s="3" t="s">
        <v>244</v>
      </c>
      <c r="C101" s="4">
        <v>0</v>
      </c>
      <c r="D101" s="4">
        <v>10000</v>
      </c>
      <c r="E101" s="4">
        <f t="shared" ref="E101:E132" si="9">C101+D101</f>
        <v>10000</v>
      </c>
      <c r="F101" s="5">
        <f t="shared" ref="F101:F132" si="10">D101-C101</f>
        <v>10000</v>
      </c>
      <c r="G101" s="6" t="str">
        <f t="shared" ref="G101:G132" si="11">IF(C101&gt;0, (D101-C101)/C101, "")</f>
        <v/>
      </c>
    </row>
    <row r="102" spans="1:7" ht="20.100000000000001" customHeight="1" x14ac:dyDescent="0.25">
      <c r="A102" s="7" t="s">
        <v>245</v>
      </c>
      <c r="B102" s="8" t="s">
        <v>246</v>
      </c>
      <c r="C102" s="9">
        <v>4000</v>
      </c>
      <c r="D102" s="9">
        <v>6000</v>
      </c>
      <c r="E102" s="9">
        <f t="shared" si="9"/>
        <v>10000</v>
      </c>
      <c r="F102" s="10">
        <f t="shared" si="10"/>
        <v>2000</v>
      </c>
      <c r="G102" s="11">
        <f t="shared" si="11"/>
        <v>0.5</v>
      </c>
    </row>
    <row r="103" spans="1:7" ht="20.100000000000001" customHeight="1" x14ac:dyDescent="0.25">
      <c r="A103" s="2" t="s">
        <v>239</v>
      </c>
      <c r="B103" s="3" t="s">
        <v>240</v>
      </c>
      <c r="C103" s="4">
        <v>0</v>
      </c>
      <c r="D103" s="4">
        <v>10000</v>
      </c>
      <c r="E103" s="4">
        <f t="shared" si="9"/>
        <v>10000</v>
      </c>
      <c r="F103" s="5">
        <f t="shared" si="10"/>
        <v>10000</v>
      </c>
      <c r="G103" s="6" t="str">
        <f t="shared" si="11"/>
        <v/>
      </c>
    </row>
    <row r="104" spans="1:7" ht="20.100000000000001" customHeight="1" x14ac:dyDescent="0.25">
      <c r="A104" s="7" t="s">
        <v>102</v>
      </c>
      <c r="B104" s="8" t="s">
        <v>103</v>
      </c>
      <c r="C104" s="9">
        <v>0</v>
      </c>
      <c r="D104" s="9">
        <v>10000</v>
      </c>
      <c r="E104" s="9">
        <f t="shared" si="9"/>
        <v>10000</v>
      </c>
      <c r="F104" s="10">
        <f t="shared" si="10"/>
        <v>10000</v>
      </c>
      <c r="G104" s="11" t="str">
        <f t="shared" si="11"/>
        <v/>
      </c>
    </row>
    <row r="105" spans="1:7" ht="20.100000000000001" customHeight="1" x14ac:dyDescent="0.25">
      <c r="A105" s="2" t="s">
        <v>247</v>
      </c>
      <c r="B105" s="3" t="s">
        <v>248</v>
      </c>
      <c r="C105" s="4">
        <v>10000</v>
      </c>
      <c r="D105" s="4">
        <v>0</v>
      </c>
      <c r="E105" s="4">
        <f t="shared" si="9"/>
        <v>10000</v>
      </c>
      <c r="F105" s="5">
        <f t="shared" si="10"/>
        <v>-10000</v>
      </c>
      <c r="G105" s="6">
        <f t="shared" si="11"/>
        <v>-1</v>
      </c>
    </row>
    <row r="106" spans="1:7" ht="20.100000000000001" customHeight="1" x14ac:dyDescent="0.25">
      <c r="A106" s="7" t="s">
        <v>249</v>
      </c>
      <c r="B106" s="8" t="s">
        <v>250</v>
      </c>
      <c r="C106" s="9">
        <v>10000</v>
      </c>
      <c r="D106" s="9">
        <v>0</v>
      </c>
      <c r="E106" s="9">
        <f t="shared" si="9"/>
        <v>10000</v>
      </c>
      <c r="F106" s="10">
        <f t="shared" si="10"/>
        <v>-10000</v>
      </c>
      <c r="G106" s="11">
        <f t="shared" si="11"/>
        <v>-1</v>
      </c>
    </row>
    <row r="107" spans="1:7" ht="20.100000000000001" customHeight="1" x14ac:dyDescent="0.25">
      <c r="A107" s="2" t="s">
        <v>251</v>
      </c>
      <c r="B107" s="3" t="s">
        <v>252</v>
      </c>
      <c r="C107" s="4">
        <v>10000</v>
      </c>
      <c r="D107" s="4">
        <v>0</v>
      </c>
      <c r="E107" s="4">
        <f t="shared" si="9"/>
        <v>10000</v>
      </c>
      <c r="F107" s="5">
        <f t="shared" si="10"/>
        <v>-10000</v>
      </c>
      <c r="G107" s="6">
        <f t="shared" si="11"/>
        <v>-1</v>
      </c>
    </row>
    <row r="108" spans="1:7" ht="20.100000000000001" customHeight="1" x14ac:dyDescent="0.25">
      <c r="A108" s="7" t="s">
        <v>253</v>
      </c>
      <c r="B108" s="8" t="s">
        <v>254</v>
      </c>
      <c r="C108" s="9">
        <v>10000</v>
      </c>
      <c r="D108" s="9">
        <v>0</v>
      </c>
      <c r="E108" s="9">
        <f t="shared" si="9"/>
        <v>10000</v>
      </c>
      <c r="F108" s="10">
        <f t="shared" si="10"/>
        <v>-10000</v>
      </c>
      <c r="G108" s="11">
        <f t="shared" si="11"/>
        <v>-1</v>
      </c>
    </row>
    <row r="109" spans="1:7" ht="20.100000000000001" customHeight="1" x14ac:dyDescent="0.25">
      <c r="A109" s="2" t="s">
        <v>255</v>
      </c>
      <c r="B109" s="3" t="s">
        <v>256</v>
      </c>
      <c r="C109" s="4">
        <v>10000</v>
      </c>
      <c r="D109" s="4">
        <v>0</v>
      </c>
      <c r="E109" s="4">
        <f t="shared" si="9"/>
        <v>10000</v>
      </c>
      <c r="F109" s="5">
        <f t="shared" si="10"/>
        <v>-10000</v>
      </c>
      <c r="G109" s="6">
        <f t="shared" si="11"/>
        <v>-1</v>
      </c>
    </row>
    <row r="110" spans="1:7" ht="20.100000000000001" customHeight="1" x14ac:dyDescent="0.25">
      <c r="A110" s="7" t="s">
        <v>257</v>
      </c>
      <c r="B110" s="8" t="s">
        <v>258</v>
      </c>
      <c r="C110" s="9">
        <v>10000</v>
      </c>
      <c r="D110" s="9">
        <v>0</v>
      </c>
      <c r="E110" s="9">
        <f t="shared" si="9"/>
        <v>10000</v>
      </c>
      <c r="F110" s="10">
        <f t="shared" si="10"/>
        <v>-10000</v>
      </c>
      <c r="G110" s="11">
        <f t="shared" si="11"/>
        <v>-1</v>
      </c>
    </row>
    <row r="111" spans="1:7" ht="20.100000000000001" customHeight="1" x14ac:dyDescent="0.25">
      <c r="A111" s="2" t="s">
        <v>259</v>
      </c>
      <c r="B111" s="3" t="s">
        <v>260</v>
      </c>
      <c r="C111" s="4">
        <v>9500</v>
      </c>
      <c r="D111" s="4">
        <v>0</v>
      </c>
      <c r="E111" s="4">
        <f t="shared" si="9"/>
        <v>9500</v>
      </c>
      <c r="F111" s="5">
        <f t="shared" si="10"/>
        <v>-9500</v>
      </c>
      <c r="G111" s="6">
        <f t="shared" si="11"/>
        <v>-1</v>
      </c>
    </row>
    <row r="112" spans="1:7" ht="20.100000000000001" customHeight="1" x14ac:dyDescent="0.25">
      <c r="A112" s="7" t="s">
        <v>261</v>
      </c>
      <c r="B112" s="8" t="s">
        <v>262</v>
      </c>
      <c r="C112" s="9">
        <v>7000</v>
      </c>
      <c r="D112" s="9">
        <v>2000</v>
      </c>
      <c r="E112" s="9">
        <f t="shared" si="9"/>
        <v>9000</v>
      </c>
      <c r="F112" s="10">
        <f t="shared" si="10"/>
        <v>-5000</v>
      </c>
      <c r="G112" s="11">
        <f t="shared" si="11"/>
        <v>-0.7142857142857143</v>
      </c>
    </row>
    <row r="113" spans="1:7" ht="20.100000000000001" customHeight="1" x14ac:dyDescent="0.25">
      <c r="A113" s="2" t="s">
        <v>201</v>
      </c>
      <c r="B113" s="3" t="s">
        <v>202</v>
      </c>
      <c r="C113" s="4">
        <v>0</v>
      </c>
      <c r="D113" s="4">
        <v>8167</v>
      </c>
      <c r="E113" s="4">
        <f t="shared" si="9"/>
        <v>8167</v>
      </c>
      <c r="F113" s="5">
        <f t="shared" si="10"/>
        <v>8167</v>
      </c>
      <c r="G113" s="6" t="str">
        <f t="shared" si="11"/>
        <v/>
      </c>
    </row>
    <row r="114" spans="1:7" ht="20.100000000000001" customHeight="1" x14ac:dyDescent="0.25">
      <c r="A114" s="7" t="s">
        <v>225</v>
      </c>
      <c r="B114" s="8" t="s">
        <v>226</v>
      </c>
      <c r="C114" s="9">
        <v>8000</v>
      </c>
      <c r="D114" s="9">
        <v>0</v>
      </c>
      <c r="E114" s="9">
        <f t="shared" si="9"/>
        <v>8000</v>
      </c>
      <c r="F114" s="10">
        <f t="shared" si="10"/>
        <v>-8000</v>
      </c>
      <c r="G114" s="11">
        <f t="shared" si="11"/>
        <v>-1</v>
      </c>
    </row>
    <row r="115" spans="1:7" ht="20.100000000000001" customHeight="1" x14ac:dyDescent="0.25">
      <c r="A115" s="2" t="s">
        <v>263</v>
      </c>
      <c r="B115" s="3" t="s">
        <v>264</v>
      </c>
      <c r="C115" s="4">
        <v>5000</v>
      </c>
      <c r="D115" s="4">
        <v>2000</v>
      </c>
      <c r="E115" s="4">
        <f t="shared" si="9"/>
        <v>7000</v>
      </c>
      <c r="F115" s="5">
        <f t="shared" si="10"/>
        <v>-3000</v>
      </c>
      <c r="G115" s="6">
        <f t="shared" si="11"/>
        <v>-0.6</v>
      </c>
    </row>
    <row r="116" spans="1:7" ht="20.100000000000001" customHeight="1" x14ac:dyDescent="0.25">
      <c r="A116" s="7" t="s">
        <v>265</v>
      </c>
      <c r="B116" s="8" t="s">
        <v>266</v>
      </c>
      <c r="C116" s="9">
        <v>0</v>
      </c>
      <c r="D116" s="9">
        <v>7000</v>
      </c>
      <c r="E116" s="9">
        <f t="shared" si="9"/>
        <v>7000</v>
      </c>
      <c r="F116" s="10">
        <f t="shared" si="10"/>
        <v>7000</v>
      </c>
      <c r="G116" s="11" t="str">
        <f t="shared" si="11"/>
        <v/>
      </c>
    </row>
    <row r="117" spans="1:7" ht="20.100000000000001" customHeight="1" x14ac:dyDescent="0.25">
      <c r="A117" s="2" t="s">
        <v>267</v>
      </c>
      <c r="B117" s="3" t="s">
        <v>268</v>
      </c>
      <c r="C117" s="4">
        <v>7000</v>
      </c>
      <c r="D117" s="4">
        <v>0</v>
      </c>
      <c r="E117" s="4">
        <f t="shared" si="9"/>
        <v>7000</v>
      </c>
      <c r="F117" s="5">
        <f t="shared" si="10"/>
        <v>-7000</v>
      </c>
      <c r="G117" s="6">
        <f t="shared" si="11"/>
        <v>-1</v>
      </c>
    </row>
    <row r="118" spans="1:7" ht="20.100000000000001" customHeight="1" x14ac:dyDescent="0.25">
      <c r="A118" s="7" t="s">
        <v>269</v>
      </c>
      <c r="B118" s="8" t="s">
        <v>270</v>
      </c>
      <c r="C118" s="9">
        <v>7000</v>
      </c>
      <c r="D118" s="9">
        <v>0</v>
      </c>
      <c r="E118" s="9">
        <f t="shared" si="9"/>
        <v>7000</v>
      </c>
      <c r="F118" s="10">
        <f t="shared" si="10"/>
        <v>-7000</v>
      </c>
      <c r="G118" s="11">
        <f t="shared" si="11"/>
        <v>-1</v>
      </c>
    </row>
    <row r="119" spans="1:7" ht="20.100000000000001" customHeight="1" x14ac:dyDescent="0.25">
      <c r="A119" s="2" t="s">
        <v>271</v>
      </c>
      <c r="B119" s="3" t="s">
        <v>272</v>
      </c>
      <c r="C119" s="4">
        <v>7000</v>
      </c>
      <c r="D119" s="4">
        <v>0</v>
      </c>
      <c r="E119" s="4">
        <f t="shared" si="9"/>
        <v>7000</v>
      </c>
      <c r="F119" s="5">
        <f t="shared" si="10"/>
        <v>-7000</v>
      </c>
      <c r="G119" s="6">
        <f t="shared" si="11"/>
        <v>-1</v>
      </c>
    </row>
    <row r="120" spans="1:7" ht="20.100000000000001" customHeight="1" x14ac:dyDescent="0.25">
      <c r="A120" s="7" t="s">
        <v>280</v>
      </c>
      <c r="B120" s="8" t="s">
        <v>281</v>
      </c>
      <c r="C120" s="9">
        <v>0</v>
      </c>
      <c r="D120" s="9">
        <v>6000</v>
      </c>
      <c r="E120" s="9">
        <f t="shared" si="9"/>
        <v>6000</v>
      </c>
      <c r="F120" s="10">
        <f t="shared" si="10"/>
        <v>6000</v>
      </c>
      <c r="G120" s="11" t="str">
        <f t="shared" si="11"/>
        <v/>
      </c>
    </row>
    <row r="121" spans="1:7" ht="20.100000000000001" customHeight="1" x14ac:dyDescent="0.25">
      <c r="A121" s="2" t="s">
        <v>282</v>
      </c>
      <c r="B121" s="3" t="s">
        <v>283</v>
      </c>
      <c r="C121" s="4">
        <v>5000</v>
      </c>
      <c r="D121" s="4">
        <v>1000</v>
      </c>
      <c r="E121" s="4">
        <f t="shared" si="9"/>
        <v>6000</v>
      </c>
      <c r="F121" s="5">
        <f t="shared" si="10"/>
        <v>-4000</v>
      </c>
      <c r="G121" s="6">
        <f t="shared" si="11"/>
        <v>-0.8</v>
      </c>
    </row>
    <row r="122" spans="1:7" ht="20.100000000000001" customHeight="1" x14ac:dyDescent="0.25">
      <c r="A122" s="7" t="s">
        <v>276</v>
      </c>
      <c r="B122" s="8" t="s">
        <v>277</v>
      </c>
      <c r="C122" s="9">
        <v>5000</v>
      </c>
      <c r="D122" s="9">
        <v>1000</v>
      </c>
      <c r="E122" s="9">
        <f t="shared" si="9"/>
        <v>6000</v>
      </c>
      <c r="F122" s="10">
        <f t="shared" si="10"/>
        <v>-4000</v>
      </c>
      <c r="G122" s="11">
        <f t="shared" si="11"/>
        <v>-0.8</v>
      </c>
    </row>
    <row r="123" spans="1:7" ht="20.100000000000001" customHeight="1" x14ac:dyDescent="0.25">
      <c r="A123" s="2" t="s">
        <v>186</v>
      </c>
      <c r="B123" s="3" t="s">
        <v>187</v>
      </c>
      <c r="C123" s="4">
        <v>6000</v>
      </c>
      <c r="D123" s="4">
        <v>0</v>
      </c>
      <c r="E123" s="4">
        <f t="shared" si="9"/>
        <v>6000</v>
      </c>
      <c r="F123" s="5">
        <f t="shared" si="10"/>
        <v>-6000</v>
      </c>
      <c r="G123" s="6">
        <f t="shared" si="11"/>
        <v>-1</v>
      </c>
    </row>
    <row r="124" spans="1:7" ht="20.100000000000001" customHeight="1" x14ac:dyDescent="0.25">
      <c r="A124" s="7" t="s">
        <v>284</v>
      </c>
      <c r="B124" s="8" t="s">
        <v>285</v>
      </c>
      <c r="C124" s="9">
        <v>0</v>
      </c>
      <c r="D124" s="9">
        <v>5000</v>
      </c>
      <c r="E124" s="9">
        <f t="shared" si="9"/>
        <v>5000</v>
      </c>
      <c r="F124" s="10">
        <f t="shared" si="10"/>
        <v>5000</v>
      </c>
      <c r="G124" s="11" t="str">
        <f t="shared" si="11"/>
        <v/>
      </c>
    </row>
    <row r="125" spans="1:7" ht="20.100000000000001" customHeight="1" x14ac:dyDescent="0.25">
      <c r="A125" s="2" t="s">
        <v>286</v>
      </c>
      <c r="B125" s="3" t="s">
        <v>287</v>
      </c>
      <c r="C125" s="4">
        <v>4000</v>
      </c>
      <c r="D125" s="4">
        <v>1000</v>
      </c>
      <c r="E125" s="4">
        <f t="shared" si="9"/>
        <v>5000</v>
      </c>
      <c r="F125" s="5">
        <f t="shared" si="10"/>
        <v>-3000</v>
      </c>
      <c r="G125" s="6">
        <f t="shared" si="11"/>
        <v>-0.75</v>
      </c>
    </row>
    <row r="126" spans="1:7" ht="20.100000000000001" customHeight="1" x14ac:dyDescent="0.25">
      <c r="A126" s="7" t="s">
        <v>288</v>
      </c>
      <c r="B126" s="8" t="s">
        <v>289</v>
      </c>
      <c r="C126" s="9">
        <v>5000</v>
      </c>
      <c r="D126" s="9">
        <v>0</v>
      </c>
      <c r="E126" s="9">
        <f t="shared" si="9"/>
        <v>5000</v>
      </c>
      <c r="F126" s="10">
        <f t="shared" si="10"/>
        <v>-5000</v>
      </c>
      <c r="G126" s="11">
        <f t="shared" si="11"/>
        <v>-1</v>
      </c>
    </row>
    <row r="127" spans="1:7" ht="20.100000000000001" customHeight="1" x14ac:dyDescent="0.25">
      <c r="A127" s="2" t="s">
        <v>290</v>
      </c>
      <c r="B127" s="3" t="s">
        <v>291</v>
      </c>
      <c r="C127" s="4">
        <v>5000</v>
      </c>
      <c r="D127" s="4">
        <v>0</v>
      </c>
      <c r="E127" s="4">
        <f t="shared" si="9"/>
        <v>5000</v>
      </c>
      <c r="F127" s="5">
        <f t="shared" si="10"/>
        <v>-5000</v>
      </c>
      <c r="G127" s="6">
        <f t="shared" si="11"/>
        <v>-1</v>
      </c>
    </row>
    <row r="128" spans="1:7" ht="20.100000000000001" customHeight="1" x14ac:dyDescent="0.25">
      <c r="A128" s="7" t="s">
        <v>292</v>
      </c>
      <c r="B128" s="8" t="s">
        <v>293</v>
      </c>
      <c r="C128" s="9">
        <v>5000</v>
      </c>
      <c r="D128" s="9">
        <v>0</v>
      </c>
      <c r="E128" s="9">
        <f t="shared" si="9"/>
        <v>5000</v>
      </c>
      <c r="F128" s="10">
        <f t="shared" si="10"/>
        <v>-5000</v>
      </c>
      <c r="G128" s="11">
        <f t="shared" si="11"/>
        <v>-1</v>
      </c>
    </row>
    <row r="129" spans="1:7" ht="20.100000000000001" customHeight="1" x14ac:dyDescent="0.25">
      <c r="A129" s="2" t="s">
        <v>294</v>
      </c>
      <c r="B129" s="3" t="s">
        <v>295</v>
      </c>
      <c r="C129" s="4">
        <v>5000</v>
      </c>
      <c r="D129" s="4">
        <v>0</v>
      </c>
      <c r="E129" s="4">
        <f t="shared" si="9"/>
        <v>5000</v>
      </c>
      <c r="F129" s="5">
        <f t="shared" si="10"/>
        <v>-5000</v>
      </c>
      <c r="G129" s="6">
        <f t="shared" si="11"/>
        <v>-1</v>
      </c>
    </row>
    <row r="130" spans="1:7" ht="20.100000000000001" customHeight="1" x14ac:dyDescent="0.25">
      <c r="A130" s="7" t="s">
        <v>296</v>
      </c>
      <c r="B130" s="8" t="s">
        <v>297</v>
      </c>
      <c r="C130" s="9">
        <v>5000</v>
      </c>
      <c r="D130" s="9">
        <v>0</v>
      </c>
      <c r="E130" s="9">
        <f t="shared" si="9"/>
        <v>5000</v>
      </c>
      <c r="F130" s="10">
        <f t="shared" si="10"/>
        <v>-5000</v>
      </c>
      <c r="G130" s="11">
        <f t="shared" si="11"/>
        <v>-1</v>
      </c>
    </row>
    <row r="131" spans="1:7" ht="20.100000000000001" customHeight="1" x14ac:dyDescent="0.25">
      <c r="A131" s="2" t="s">
        <v>298</v>
      </c>
      <c r="B131" s="3" t="s">
        <v>299</v>
      </c>
      <c r="C131" s="4">
        <v>4500</v>
      </c>
      <c r="D131" s="4">
        <v>0</v>
      </c>
      <c r="E131" s="4">
        <f t="shared" si="9"/>
        <v>4500</v>
      </c>
      <c r="F131" s="5">
        <f t="shared" si="10"/>
        <v>-4500</v>
      </c>
      <c r="G131" s="6">
        <f t="shared" si="11"/>
        <v>-1</v>
      </c>
    </row>
    <row r="132" spans="1:7" ht="20.100000000000001" customHeight="1" x14ac:dyDescent="0.25">
      <c r="A132" s="7" t="s">
        <v>300</v>
      </c>
      <c r="B132" s="8" t="s">
        <v>301</v>
      </c>
      <c r="C132" s="9">
        <v>0</v>
      </c>
      <c r="D132" s="9">
        <v>4000</v>
      </c>
      <c r="E132" s="9">
        <f t="shared" si="9"/>
        <v>4000</v>
      </c>
      <c r="F132" s="10">
        <f t="shared" si="10"/>
        <v>4000</v>
      </c>
      <c r="G132" s="11" t="str">
        <f t="shared" si="11"/>
        <v/>
      </c>
    </row>
    <row r="133" spans="1:7" ht="20.100000000000001" customHeight="1" x14ac:dyDescent="0.25">
      <c r="A133" s="2" t="s">
        <v>302</v>
      </c>
      <c r="B133" s="3" t="s">
        <v>303</v>
      </c>
      <c r="C133" s="4">
        <v>0</v>
      </c>
      <c r="D133" s="4">
        <v>4000</v>
      </c>
      <c r="E133" s="4">
        <f t="shared" ref="E133:E164" si="12">C133+D133</f>
        <v>4000</v>
      </c>
      <c r="F133" s="5">
        <f t="shared" ref="F133:F164" si="13">D133-C133</f>
        <v>4000</v>
      </c>
      <c r="G133" s="6" t="str">
        <f t="shared" ref="G133:G164" si="14">IF(C133&gt;0, (D133-C133)/C133, "")</f>
        <v/>
      </c>
    </row>
    <row r="134" spans="1:7" ht="20.100000000000001" customHeight="1" x14ac:dyDescent="0.25">
      <c r="A134" s="7" t="s">
        <v>304</v>
      </c>
      <c r="B134" s="8" t="s">
        <v>305</v>
      </c>
      <c r="C134" s="9">
        <v>1000</v>
      </c>
      <c r="D134" s="9">
        <v>3000</v>
      </c>
      <c r="E134" s="9">
        <f t="shared" si="12"/>
        <v>4000</v>
      </c>
      <c r="F134" s="10">
        <f t="shared" si="13"/>
        <v>2000</v>
      </c>
      <c r="G134" s="11">
        <f t="shared" si="14"/>
        <v>2</v>
      </c>
    </row>
    <row r="135" spans="1:7" ht="20.100000000000001" customHeight="1" x14ac:dyDescent="0.25">
      <c r="A135" s="2" t="s">
        <v>306</v>
      </c>
      <c r="B135" s="3" t="s">
        <v>307</v>
      </c>
      <c r="C135" s="4">
        <v>2000</v>
      </c>
      <c r="D135" s="4">
        <v>2000</v>
      </c>
      <c r="E135" s="4">
        <f t="shared" si="12"/>
        <v>4000</v>
      </c>
      <c r="F135" s="5">
        <f t="shared" si="13"/>
        <v>0</v>
      </c>
      <c r="G135" s="6">
        <f t="shared" si="14"/>
        <v>0</v>
      </c>
    </row>
    <row r="136" spans="1:7" ht="20.100000000000001" customHeight="1" x14ac:dyDescent="0.25">
      <c r="A136" s="7" t="s">
        <v>308</v>
      </c>
      <c r="B136" s="8" t="s">
        <v>309</v>
      </c>
      <c r="C136" s="9">
        <v>4000</v>
      </c>
      <c r="D136" s="9">
        <v>0</v>
      </c>
      <c r="E136" s="9">
        <f t="shared" si="12"/>
        <v>4000</v>
      </c>
      <c r="F136" s="10">
        <f t="shared" si="13"/>
        <v>-4000</v>
      </c>
      <c r="G136" s="11">
        <f t="shared" si="14"/>
        <v>-1</v>
      </c>
    </row>
    <row r="137" spans="1:7" ht="20.100000000000001" customHeight="1" x14ac:dyDescent="0.25">
      <c r="A137" s="2" t="s">
        <v>310</v>
      </c>
      <c r="B137" s="3" t="s">
        <v>311</v>
      </c>
      <c r="C137" s="4">
        <v>4000</v>
      </c>
      <c r="D137" s="4">
        <v>0</v>
      </c>
      <c r="E137" s="4">
        <f t="shared" si="12"/>
        <v>4000</v>
      </c>
      <c r="F137" s="5">
        <f t="shared" si="13"/>
        <v>-4000</v>
      </c>
      <c r="G137" s="6">
        <f t="shared" si="14"/>
        <v>-1</v>
      </c>
    </row>
    <row r="138" spans="1:7" ht="20.100000000000001" customHeight="1" x14ac:dyDescent="0.25">
      <c r="A138" s="7" t="s">
        <v>312</v>
      </c>
      <c r="B138" s="8" t="s">
        <v>313</v>
      </c>
      <c r="C138" s="9">
        <v>4000</v>
      </c>
      <c r="D138" s="9">
        <v>0</v>
      </c>
      <c r="E138" s="9">
        <f t="shared" si="12"/>
        <v>4000</v>
      </c>
      <c r="F138" s="10">
        <f t="shared" si="13"/>
        <v>-4000</v>
      </c>
      <c r="G138" s="11">
        <f t="shared" si="14"/>
        <v>-1</v>
      </c>
    </row>
    <row r="139" spans="1:7" ht="20.100000000000001" customHeight="1" x14ac:dyDescent="0.25">
      <c r="A139" s="2" t="s">
        <v>316</v>
      </c>
      <c r="B139" s="3" t="s">
        <v>317</v>
      </c>
      <c r="C139" s="4">
        <v>0</v>
      </c>
      <c r="D139" s="4">
        <v>3500</v>
      </c>
      <c r="E139" s="4">
        <f t="shared" si="12"/>
        <v>3500</v>
      </c>
      <c r="F139" s="5">
        <f t="shared" si="13"/>
        <v>3500</v>
      </c>
      <c r="G139" s="6" t="str">
        <f t="shared" si="14"/>
        <v/>
      </c>
    </row>
    <row r="140" spans="1:7" ht="20.100000000000001" customHeight="1" x14ac:dyDescent="0.25">
      <c r="A140" s="7" t="s">
        <v>318</v>
      </c>
      <c r="B140" s="8" t="s">
        <v>319</v>
      </c>
      <c r="C140" s="9">
        <v>2500</v>
      </c>
      <c r="D140" s="9">
        <v>1000</v>
      </c>
      <c r="E140" s="9">
        <f t="shared" si="12"/>
        <v>3500</v>
      </c>
      <c r="F140" s="10">
        <f t="shared" si="13"/>
        <v>-1500</v>
      </c>
      <c r="G140" s="11">
        <f t="shared" si="14"/>
        <v>-0.6</v>
      </c>
    </row>
    <row r="141" spans="1:7" ht="20.100000000000001" customHeight="1" x14ac:dyDescent="0.25">
      <c r="A141" s="2" t="s">
        <v>314</v>
      </c>
      <c r="B141" s="3" t="s">
        <v>315</v>
      </c>
      <c r="C141" s="4">
        <v>2000</v>
      </c>
      <c r="D141" s="4">
        <v>1500</v>
      </c>
      <c r="E141" s="4">
        <f t="shared" si="12"/>
        <v>3500</v>
      </c>
      <c r="F141" s="5">
        <f t="shared" si="13"/>
        <v>-500</v>
      </c>
      <c r="G141" s="6">
        <f t="shared" si="14"/>
        <v>-0.25</v>
      </c>
    </row>
    <row r="142" spans="1:7" ht="20.100000000000001" customHeight="1" x14ac:dyDescent="0.25">
      <c r="A142" s="7" t="s">
        <v>324</v>
      </c>
      <c r="B142" s="8" t="s">
        <v>325</v>
      </c>
      <c r="C142" s="9">
        <v>0</v>
      </c>
      <c r="D142" s="9">
        <v>3000</v>
      </c>
      <c r="E142" s="9">
        <f t="shared" si="12"/>
        <v>3000</v>
      </c>
      <c r="F142" s="10">
        <f t="shared" si="13"/>
        <v>3000</v>
      </c>
      <c r="G142" s="11" t="str">
        <f t="shared" si="14"/>
        <v/>
      </c>
    </row>
    <row r="143" spans="1:7" ht="20.100000000000001" customHeight="1" x14ac:dyDescent="0.25">
      <c r="A143" s="2" t="s">
        <v>326</v>
      </c>
      <c r="B143" s="3" t="s">
        <v>327</v>
      </c>
      <c r="C143" s="4">
        <v>0</v>
      </c>
      <c r="D143" s="4">
        <v>3000</v>
      </c>
      <c r="E143" s="4">
        <f t="shared" si="12"/>
        <v>3000</v>
      </c>
      <c r="F143" s="5">
        <f t="shared" si="13"/>
        <v>3000</v>
      </c>
      <c r="G143" s="6" t="str">
        <f t="shared" si="14"/>
        <v/>
      </c>
    </row>
    <row r="144" spans="1:7" ht="20.100000000000001" customHeight="1" x14ac:dyDescent="0.25">
      <c r="A144" s="7" t="s">
        <v>328</v>
      </c>
      <c r="B144" s="8" t="s">
        <v>329</v>
      </c>
      <c r="C144" s="9">
        <v>0</v>
      </c>
      <c r="D144" s="9">
        <v>3000</v>
      </c>
      <c r="E144" s="9">
        <f t="shared" si="12"/>
        <v>3000</v>
      </c>
      <c r="F144" s="10">
        <f t="shared" si="13"/>
        <v>3000</v>
      </c>
      <c r="G144" s="11" t="str">
        <f t="shared" si="14"/>
        <v/>
      </c>
    </row>
    <row r="145" spans="1:7" ht="20.100000000000001" customHeight="1" x14ac:dyDescent="0.25">
      <c r="A145" s="2" t="s">
        <v>330</v>
      </c>
      <c r="B145" s="3" t="s">
        <v>331</v>
      </c>
      <c r="C145" s="4">
        <v>1000</v>
      </c>
      <c r="D145" s="4">
        <v>2000</v>
      </c>
      <c r="E145" s="4">
        <f t="shared" si="12"/>
        <v>3000</v>
      </c>
      <c r="F145" s="5">
        <f t="shared" si="13"/>
        <v>1000</v>
      </c>
      <c r="G145" s="6">
        <f t="shared" si="14"/>
        <v>1</v>
      </c>
    </row>
    <row r="146" spans="1:7" ht="20.100000000000001" customHeight="1" x14ac:dyDescent="0.25">
      <c r="A146" s="7" t="s">
        <v>332</v>
      </c>
      <c r="B146" s="8" t="s">
        <v>333</v>
      </c>
      <c r="C146" s="9">
        <v>3000</v>
      </c>
      <c r="D146" s="9">
        <v>0</v>
      </c>
      <c r="E146" s="9">
        <f t="shared" si="12"/>
        <v>3000</v>
      </c>
      <c r="F146" s="10">
        <f t="shared" si="13"/>
        <v>-3000</v>
      </c>
      <c r="G146" s="11">
        <f t="shared" si="14"/>
        <v>-1</v>
      </c>
    </row>
    <row r="147" spans="1:7" ht="20.100000000000001" customHeight="1" x14ac:dyDescent="0.25">
      <c r="A147" s="2" t="s">
        <v>334</v>
      </c>
      <c r="B147" s="3" t="s">
        <v>335</v>
      </c>
      <c r="C147" s="4">
        <v>3000</v>
      </c>
      <c r="D147" s="4">
        <v>0</v>
      </c>
      <c r="E147" s="4">
        <f t="shared" si="12"/>
        <v>3000</v>
      </c>
      <c r="F147" s="5">
        <f t="shared" si="13"/>
        <v>-3000</v>
      </c>
      <c r="G147" s="6">
        <f t="shared" si="14"/>
        <v>-1</v>
      </c>
    </row>
    <row r="148" spans="1:7" ht="20.100000000000001" customHeight="1" x14ac:dyDescent="0.25">
      <c r="A148" s="7" t="s">
        <v>320</v>
      </c>
      <c r="B148" s="8" t="s">
        <v>321</v>
      </c>
      <c r="C148" s="9">
        <v>3000</v>
      </c>
      <c r="D148" s="9">
        <v>0</v>
      </c>
      <c r="E148" s="9">
        <f t="shared" si="12"/>
        <v>3000</v>
      </c>
      <c r="F148" s="10">
        <f t="shared" si="13"/>
        <v>-3000</v>
      </c>
      <c r="G148" s="11">
        <f t="shared" si="14"/>
        <v>-1</v>
      </c>
    </row>
    <row r="149" spans="1:7" ht="20.100000000000001" customHeight="1" x14ac:dyDescent="0.25">
      <c r="A149" s="2" t="s">
        <v>336</v>
      </c>
      <c r="B149" s="3" t="s">
        <v>337</v>
      </c>
      <c r="C149" s="4">
        <v>3000</v>
      </c>
      <c r="D149" s="4">
        <v>0</v>
      </c>
      <c r="E149" s="4">
        <f t="shared" si="12"/>
        <v>3000</v>
      </c>
      <c r="F149" s="5">
        <f t="shared" si="13"/>
        <v>-3000</v>
      </c>
      <c r="G149" s="6">
        <f t="shared" si="14"/>
        <v>-1</v>
      </c>
    </row>
    <row r="150" spans="1:7" ht="20.100000000000001" customHeight="1" x14ac:dyDescent="0.25">
      <c r="A150" s="7" t="s">
        <v>338</v>
      </c>
      <c r="B150" s="8" t="s">
        <v>339</v>
      </c>
      <c r="C150" s="9">
        <v>3000</v>
      </c>
      <c r="D150" s="9">
        <v>0</v>
      </c>
      <c r="E150" s="9">
        <f t="shared" si="12"/>
        <v>3000</v>
      </c>
      <c r="F150" s="10">
        <f t="shared" si="13"/>
        <v>-3000</v>
      </c>
      <c r="G150" s="11">
        <f t="shared" si="14"/>
        <v>-1</v>
      </c>
    </row>
    <row r="151" spans="1:7" ht="20.100000000000001" customHeight="1" x14ac:dyDescent="0.25">
      <c r="A151" s="2" t="s">
        <v>340</v>
      </c>
      <c r="B151" s="3" t="s">
        <v>341</v>
      </c>
      <c r="C151" s="4">
        <v>1000</v>
      </c>
      <c r="D151" s="4">
        <v>1500</v>
      </c>
      <c r="E151" s="4">
        <f t="shared" si="12"/>
        <v>2500</v>
      </c>
      <c r="F151" s="5">
        <f t="shared" si="13"/>
        <v>500</v>
      </c>
      <c r="G151" s="6">
        <f t="shared" si="14"/>
        <v>0.5</v>
      </c>
    </row>
    <row r="152" spans="1:7" ht="20.100000000000001" customHeight="1" x14ac:dyDescent="0.25">
      <c r="A152" s="7" t="s">
        <v>322</v>
      </c>
      <c r="B152" s="8" t="s">
        <v>323</v>
      </c>
      <c r="C152" s="9">
        <v>2500</v>
      </c>
      <c r="D152" s="9">
        <v>0</v>
      </c>
      <c r="E152" s="9">
        <f t="shared" si="12"/>
        <v>2500</v>
      </c>
      <c r="F152" s="10">
        <f t="shared" si="13"/>
        <v>-2500</v>
      </c>
      <c r="G152" s="11">
        <f t="shared" si="14"/>
        <v>-1</v>
      </c>
    </row>
    <row r="153" spans="1:7" ht="20.100000000000001" customHeight="1" x14ac:dyDescent="0.25">
      <c r="A153" s="2" t="s">
        <v>342</v>
      </c>
      <c r="B153" s="3" t="s">
        <v>343</v>
      </c>
      <c r="C153" s="4">
        <v>0</v>
      </c>
      <c r="D153" s="4">
        <v>2000</v>
      </c>
      <c r="E153" s="4">
        <f t="shared" si="12"/>
        <v>2000</v>
      </c>
      <c r="F153" s="5">
        <f t="shared" si="13"/>
        <v>2000</v>
      </c>
      <c r="G153" s="6" t="str">
        <f t="shared" si="14"/>
        <v/>
      </c>
    </row>
    <row r="154" spans="1:7" ht="20.100000000000001" customHeight="1" x14ac:dyDescent="0.25">
      <c r="A154" s="7" t="s">
        <v>346</v>
      </c>
      <c r="B154" s="8" t="s">
        <v>347</v>
      </c>
      <c r="C154" s="9">
        <v>0</v>
      </c>
      <c r="D154" s="9">
        <v>2000</v>
      </c>
      <c r="E154" s="9">
        <f t="shared" si="12"/>
        <v>2000</v>
      </c>
      <c r="F154" s="10">
        <f t="shared" si="13"/>
        <v>2000</v>
      </c>
      <c r="G154" s="11" t="str">
        <f t="shared" si="14"/>
        <v/>
      </c>
    </row>
    <row r="155" spans="1:7" ht="20.100000000000001" customHeight="1" x14ac:dyDescent="0.25">
      <c r="A155" s="2" t="s">
        <v>348</v>
      </c>
      <c r="B155" s="3" t="s">
        <v>349</v>
      </c>
      <c r="C155" s="4">
        <v>0</v>
      </c>
      <c r="D155" s="4">
        <v>2000</v>
      </c>
      <c r="E155" s="4">
        <f t="shared" si="12"/>
        <v>2000</v>
      </c>
      <c r="F155" s="5">
        <f t="shared" si="13"/>
        <v>2000</v>
      </c>
      <c r="G155" s="6" t="str">
        <f t="shared" si="14"/>
        <v/>
      </c>
    </row>
    <row r="156" spans="1:7" ht="20.100000000000001" customHeight="1" x14ac:dyDescent="0.25">
      <c r="A156" s="7" t="s">
        <v>352</v>
      </c>
      <c r="B156" s="8" t="s">
        <v>353</v>
      </c>
      <c r="C156" s="9">
        <v>2000</v>
      </c>
      <c r="D156" s="9">
        <v>0</v>
      </c>
      <c r="E156" s="9">
        <f t="shared" si="12"/>
        <v>2000</v>
      </c>
      <c r="F156" s="10">
        <f t="shared" si="13"/>
        <v>-2000</v>
      </c>
      <c r="G156" s="11">
        <f t="shared" si="14"/>
        <v>-1</v>
      </c>
    </row>
    <row r="157" spans="1:7" ht="20.100000000000001" customHeight="1" x14ac:dyDescent="0.25">
      <c r="A157" s="2" t="s">
        <v>354</v>
      </c>
      <c r="B157" s="3" t="s">
        <v>355</v>
      </c>
      <c r="C157" s="4">
        <v>2000</v>
      </c>
      <c r="D157" s="4">
        <v>0</v>
      </c>
      <c r="E157" s="4">
        <f t="shared" si="12"/>
        <v>2000</v>
      </c>
      <c r="F157" s="5">
        <f t="shared" si="13"/>
        <v>-2000</v>
      </c>
      <c r="G157" s="6">
        <f t="shared" si="14"/>
        <v>-1</v>
      </c>
    </row>
    <row r="158" spans="1:7" ht="20.100000000000001" customHeight="1" x14ac:dyDescent="0.25">
      <c r="A158" s="7" t="s">
        <v>356</v>
      </c>
      <c r="B158" s="8" t="s">
        <v>357</v>
      </c>
      <c r="C158" s="9">
        <v>2000</v>
      </c>
      <c r="D158" s="9">
        <v>0</v>
      </c>
      <c r="E158" s="9">
        <f t="shared" si="12"/>
        <v>2000</v>
      </c>
      <c r="F158" s="10">
        <f t="shared" si="13"/>
        <v>-2000</v>
      </c>
      <c r="G158" s="11">
        <f t="shared" si="14"/>
        <v>-1</v>
      </c>
    </row>
    <row r="159" spans="1:7" ht="20.100000000000001" customHeight="1" x14ac:dyDescent="0.25">
      <c r="A159" s="2" t="s">
        <v>358</v>
      </c>
      <c r="B159" s="3" t="s">
        <v>359</v>
      </c>
      <c r="C159" s="4">
        <v>2000</v>
      </c>
      <c r="D159" s="4">
        <v>0</v>
      </c>
      <c r="E159" s="4">
        <f t="shared" si="12"/>
        <v>2000</v>
      </c>
      <c r="F159" s="5">
        <f t="shared" si="13"/>
        <v>-2000</v>
      </c>
      <c r="G159" s="6">
        <f t="shared" si="14"/>
        <v>-1</v>
      </c>
    </row>
    <row r="160" spans="1:7" ht="20.100000000000001" customHeight="1" x14ac:dyDescent="0.25">
      <c r="A160" s="7" t="s">
        <v>360</v>
      </c>
      <c r="B160" s="8" t="s">
        <v>361</v>
      </c>
      <c r="C160" s="9">
        <v>2000</v>
      </c>
      <c r="D160" s="9">
        <v>0</v>
      </c>
      <c r="E160" s="9">
        <f t="shared" si="12"/>
        <v>2000</v>
      </c>
      <c r="F160" s="10">
        <f t="shared" si="13"/>
        <v>-2000</v>
      </c>
      <c r="G160" s="11">
        <f t="shared" si="14"/>
        <v>-1</v>
      </c>
    </row>
    <row r="161" spans="1:7" ht="20.100000000000001" customHeight="1" x14ac:dyDescent="0.25">
      <c r="A161" s="2" t="s">
        <v>362</v>
      </c>
      <c r="B161" s="3" t="s">
        <v>363</v>
      </c>
      <c r="C161" s="4">
        <v>2000</v>
      </c>
      <c r="D161" s="4">
        <v>0</v>
      </c>
      <c r="E161" s="4">
        <f t="shared" si="12"/>
        <v>2000</v>
      </c>
      <c r="F161" s="5">
        <f t="shared" si="13"/>
        <v>-2000</v>
      </c>
      <c r="G161" s="6">
        <f t="shared" si="14"/>
        <v>-1</v>
      </c>
    </row>
    <row r="162" spans="1:7" ht="20.100000000000001" customHeight="1" x14ac:dyDescent="0.25">
      <c r="A162" s="7" t="s">
        <v>366</v>
      </c>
      <c r="B162" s="8" t="s">
        <v>367</v>
      </c>
      <c r="C162" s="9">
        <v>500</v>
      </c>
      <c r="D162" s="9">
        <v>1000</v>
      </c>
      <c r="E162" s="9">
        <f t="shared" si="12"/>
        <v>1500</v>
      </c>
      <c r="F162" s="10">
        <f t="shared" si="13"/>
        <v>500</v>
      </c>
      <c r="G162" s="11">
        <f t="shared" si="14"/>
        <v>1</v>
      </c>
    </row>
    <row r="163" spans="1:7" ht="20.100000000000001" customHeight="1" x14ac:dyDescent="0.25">
      <c r="A163" s="2" t="s">
        <v>368</v>
      </c>
      <c r="B163" s="3" t="s">
        <v>369</v>
      </c>
      <c r="C163" s="4">
        <v>1500</v>
      </c>
      <c r="D163" s="4">
        <v>0</v>
      </c>
      <c r="E163" s="4">
        <f t="shared" si="12"/>
        <v>1500</v>
      </c>
      <c r="F163" s="5">
        <f t="shared" si="13"/>
        <v>-1500</v>
      </c>
      <c r="G163" s="6">
        <f t="shared" si="14"/>
        <v>-1</v>
      </c>
    </row>
    <row r="164" spans="1:7" ht="20.100000000000001" customHeight="1" x14ac:dyDescent="0.25">
      <c r="A164" s="7" t="s">
        <v>374</v>
      </c>
      <c r="B164" s="8" t="s">
        <v>375</v>
      </c>
      <c r="C164" s="9">
        <v>1011</v>
      </c>
      <c r="D164" s="9">
        <v>0</v>
      </c>
      <c r="E164" s="9">
        <f t="shared" si="12"/>
        <v>1011</v>
      </c>
      <c r="F164" s="10">
        <f t="shared" si="13"/>
        <v>-1011</v>
      </c>
      <c r="G164" s="11">
        <f t="shared" si="14"/>
        <v>-1</v>
      </c>
    </row>
    <row r="165" spans="1:7" ht="20.100000000000001" customHeight="1" x14ac:dyDescent="0.25">
      <c r="A165" s="2" t="s">
        <v>376</v>
      </c>
      <c r="B165" s="3" t="s">
        <v>377</v>
      </c>
      <c r="C165" s="4">
        <v>0</v>
      </c>
      <c r="D165" s="4">
        <v>1000</v>
      </c>
      <c r="E165" s="4">
        <f t="shared" ref="E165:E196" si="15">C165+D165</f>
        <v>1000</v>
      </c>
      <c r="F165" s="5">
        <f t="shared" ref="F165:F186" si="16">D165-C165</f>
        <v>1000</v>
      </c>
      <c r="G165" s="6" t="str">
        <f t="shared" ref="G165:G186" si="17">IF(C165&gt;0, (D165-C165)/C165, "")</f>
        <v/>
      </c>
    </row>
    <row r="166" spans="1:7" ht="20.100000000000001" customHeight="1" x14ac:dyDescent="0.25">
      <c r="A166" s="7" t="s">
        <v>378</v>
      </c>
      <c r="B166" s="8" t="s">
        <v>379</v>
      </c>
      <c r="C166" s="9">
        <v>0</v>
      </c>
      <c r="D166" s="9">
        <v>1000</v>
      </c>
      <c r="E166" s="9">
        <f t="shared" si="15"/>
        <v>1000</v>
      </c>
      <c r="F166" s="10">
        <f t="shared" si="16"/>
        <v>1000</v>
      </c>
      <c r="G166" s="11" t="str">
        <f t="shared" si="17"/>
        <v/>
      </c>
    </row>
    <row r="167" spans="1:7" ht="20.100000000000001" customHeight="1" x14ac:dyDescent="0.25">
      <c r="A167" s="2" t="s">
        <v>380</v>
      </c>
      <c r="B167" s="3" t="s">
        <v>381</v>
      </c>
      <c r="C167" s="4">
        <v>0</v>
      </c>
      <c r="D167" s="4">
        <v>1000</v>
      </c>
      <c r="E167" s="4">
        <f t="shared" si="15"/>
        <v>1000</v>
      </c>
      <c r="F167" s="5">
        <f t="shared" si="16"/>
        <v>1000</v>
      </c>
      <c r="G167" s="6" t="str">
        <f t="shared" si="17"/>
        <v/>
      </c>
    </row>
    <row r="168" spans="1:7" ht="20.100000000000001" customHeight="1" x14ac:dyDescent="0.25">
      <c r="A168" s="7" t="s">
        <v>278</v>
      </c>
      <c r="B168" s="8" t="s">
        <v>279</v>
      </c>
      <c r="C168" s="9">
        <v>0</v>
      </c>
      <c r="D168" s="9">
        <v>1000</v>
      </c>
      <c r="E168" s="9">
        <f t="shared" si="15"/>
        <v>1000</v>
      </c>
      <c r="F168" s="10">
        <f t="shared" si="16"/>
        <v>1000</v>
      </c>
      <c r="G168" s="11" t="str">
        <f t="shared" si="17"/>
        <v/>
      </c>
    </row>
    <row r="169" spans="1:7" ht="20.100000000000001" customHeight="1" x14ac:dyDescent="0.25">
      <c r="A169" s="2" t="s">
        <v>382</v>
      </c>
      <c r="B169" s="3" t="s">
        <v>383</v>
      </c>
      <c r="C169" s="4">
        <v>0</v>
      </c>
      <c r="D169" s="4">
        <v>1000</v>
      </c>
      <c r="E169" s="4">
        <f t="shared" si="15"/>
        <v>1000</v>
      </c>
      <c r="F169" s="5">
        <f t="shared" si="16"/>
        <v>1000</v>
      </c>
      <c r="G169" s="6" t="str">
        <f t="shared" si="17"/>
        <v/>
      </c>
    </row>
    <row r="170" spans="1:7" ht="20.100000000000001" customHeight="1" x14ac:dyDescent="0.25">
      <c r="A170" s="7" t="s">
        <v>384</v>
      </c>
      <c r="B170" s="8" t="s">
        <v>385</v>
      </c>
      <c r="C170" s="9">
        <v>0</v>
      </c>
      <c r="D170" s="9">
        <v>1000</v>
      </c>
      <c r="E170" s="9">
        <f t="shared" si="15"/>
        <v>1000</v>
      </c>
      <c r="F170" s="10">
        <f t="shared" si="16"/>
        <v>1000</v>
      </c>
      <c r="G170" s="11" t="str">
        <f t="shared" si="17"/>
        <v/>
      </c>
    </row>
    <row r="171" spans="1:7" ht="20.100000000000001" customHeight="1" x14ac:dyDescent="0.25">
      <c r="A171" s="2" t="s">
        <v>350</v>
      </c>
      <c r="B171" s="3" t="s">
        <v>351</v>
      </c>
      <c r="C171" s="4">
        <v>1000</v>
      </c>
      <c r="D171" s="4">
        <v>0</v>
      </c>
      <c r="E171" s="4">
        <f t="shared" si="15"/>
        <v>1000</v>
      </c>
      <c r="F171" s="5">
        <f t="shared" si="16"/>
        <v>-1000</v>
      </c>
      <c r="G171" s="6">
        <f t="shared" si="17"/>
        <v>-1</v>
      </c>
    </row>
    <row r="172" spans="1:7" ht="20.100000000000001" customHeight="1" x14ac:dyDescent="0.25">
      <c r="A172" s="7" t="s">
        <v>386</v>
      </c>
      <c r="B172" s="8" t="s">
        <v>387</v>
      </c>
      <c r="C172" s="9">
        <v>1000</v>
      </c>
      <c r="D172" s="9">
        <v>0</v>
      </c>
      <c r="E172" s="9">
        <f t="shared" si="15"/>
        <v>1000</v>
      </c>
      <c r="F172" s="10">
        <f t="shared" si="16"/>
        <v>-1000</v>
      </c>
      <c r="G172" s="11">
        <f t="shared" si="17"/>
        <v>-1</v>
      </c>
    </row>
    <row r="173" spans="1:7" ht="20.100000000000001" customHeight="1" x14ac:dyDescent="0.25">
      <c r="A173" s="2" t="s">
        <v>388</v>
      </c>
      <c r="B173" s="3" t="s">
        <v>389</v>
      </c>
      <c r="C173" s="4">
        <v>1000</v>
      </c>
      <c r="D173" s="4">
        <v>0</v>
      </c>
      <c r="E173" s="4">
        <f t="shared" si="15"/>
        <v>1000</v>
      </c>
      <c r="F173" s="5">
        <f t="shared" si="16"/>
        <v>-1000</v>
      </c>
      <c r="G173" s="6">
        <f t="shared" si="17"/>
        <v>-1</v>
      </c>
    </row>
    <row r="174" spans="1:7" ht="20.100000000000001" customHeight="1" x14ac:dyDescent="0.25">
      <c r="A174" s="7" t="s">
        <v>390</v>
      </c>
      <c r="B174" s="8" t="s">
        <v>391</v>
      </c>
      <c r="C174" s="9">
        <v>1000</v>
      </c>
      <c r="D174" s="9">
        <v>0</v>
      </c>
      <c r="E174" s="9">
        <f t="shared" si="15"/>
        <v>1000</v>
      </c>
      <c r="F174" s="10">
        <f t="shared" si="16"/>
        <v>-1000</v>
      </c>
      <c r="G174" s="11">
        <f t="shared" si="17"/>
        <v>-1</v>
      </c>
    </row>
    <row r="175" spans="1:7" ht="20.100000000000001" customHeight="1" x14ac:dyDescent="0.25">
      <c r="A175" s="2" t="s">
        <v>392</v>
      </c>
      <c r="B175" s="3" t="s">
        <v>393</v>
      </c>
      <c r="C175" s="4">
        <v>1000</v>
      </c>
      <c r="D175" s="4">
        <v>0</v>
      </c>
      <c r="E175" s="4">
        <f t="shared" si="15"/>
        <v>1000</v>
      </c>
      <c r="F175" s="5">
        <f t="shared" si="16"/>
        <v>-1000</v>
      </c>
      <c r="G175" s="6">
        <f t="shared" si="17"/>
        <v>-1</v>
      </c>
    </row>
    <row r="176" spans="1:7" ht="20.100000000000001" customHeight="1" x14ac:dyDescent="0.25">
      <c r="A176" s="7" t="s">
        <v>394</v>
      </c>
      <c r="B176" s="8" t="s">
        <v>395</v>
      </c>
      <c r="C176" s="9">
        <v>1000</v>
      </c>
      <c r="D176" s="9">
        <v>0</v>
      </c>
      <c r="E176" s="9">
        <f t="shared" si="15"/>
        <v>1000</v>
      </c>
      <c r="F176" s="10">
        <f t="shared" si="16"/>
        <v>-1000</v>
      </c>
      <c r="G176" s="11">
        <f t="shared" si="17"/>
        <v>-1</v>
      </c>
    </row>
    <row r="177" spans="1:7" ht="20.100000000000001" customHeight="1" x14ac:dyDescent="0.25">
      <c r="A177" s="2" t="s">
        <v>182</v>
      </c>
      <c r="B177" s="3" t="s">
        <v>183</v>
      </c>
      <c r="C177" s="4">
        <v>1000</v>
      </c>
      <c r="D177" s="4">
        <v>0</v>
      </c>
      <c r="E177" s="4">
        <f t="shared" si="15"/>
        <v>1000</v>
      </c>
      <c r="F177" s="5">
        <f t="shared" si="16"/>
        <v>-1000</v>
      </c>
      <c r="G177" s="6">
        <f t="shared" si="17"/>
        <v>-1</v>
      </c>
    </row>
    <row r="178" spans="1:7" ht="20.100000000000001" customHeight="1" x14ac:dyDescent="0.25">
      <c r="A178" s="7" t="s">
        <v>396</v>
      </c>
      <c r="B178" s="8" t="s">
        <v>397</v>
      </c>
      <c r="C178" s="9">
        <v>1000</v>
      </c>
      <c r="D178" s="9">
        <v>0</v>
      </c>
      <c r="E178" s="9">
        <f t="shared" si="15"/>
        <v>1000</v>
      </c>
      <c r="F178" s="10">
        <f t="shared" si="16"/>
        <v>-1000</v>
      </c>
      <c r="G178" s="11">
        <f t="shared" si="17"/>
        <v>-1</v>
      </c>
    </row>
    <row r="179" spans="1:7" ht="20.100000000000001" customHeight="1" x14ac:dyDescent="0.25">
      <c r="A179" s="2" t="s">
        <v>404</v>
      </c>
      <c r="B179" s="3" t="s">
        <v>405</v>
      </c>
      <c r="C179" s="4">
        <v>0</v>
      </c>
      <c r="D179" s="4">
        <v>693</v>
      </c>
      <c r="E179" s="4">
        <f t="shared" si="15"/>
        <v>693</v>
      </c>
      <c r="F179" s="5">
        <f t="shared" si="16"/>
        <v>693</v>
      </c>
      <c r="G179" s="6" t="str">
        <f t="shared" si="17"/>
        <v/>
      </c>
    </row>
    <row r="180" spans="1:7" ht="20.100000000000001" customHeight="1" x14ac:dyDescent="0.25">
      <c r="A180" s="7" t="s">
        <v>408</v>
      </c>
      <c r="B180" s="8" t="s">
        <v>409</v>
      </c>
      <c r="C180" s="9">
        <v>500</v>
      </c>
      <c r="D180" s="9">
        <v>0</v>
      </c>
      <c r="E180" s="9">
        <f t="shared" si="15"/>
        <v>500</v>
      </c>
      <c r="F180" s="10">
        <f t="shared" si="16"/>
        <v>-500</v>
      </c>
      <c r="G180" s="11">
        <f t="shared" si="17"/>
        <v>-1</v>
      </c>
    </row>
    <row r="181" spans="1:7" ht="20.100000000000001" customHeight="1" x14ac:dyDescent="0.25">
      <c r="A181" s="2" t="s">
        <v>406</v>
      </c>
      <c r="B181" s="3" t="s">
        <v>407</v>
      </c>
      <c r="C181" s="4">
        <v>500</v>
      </c>
      <c r="D181" s="4">
        <v>0</v>
      </c>
      <c r="E181" s="4">
        <f t="shared" si="15"/>
        <v>500</v>
      </c>
      <c r="F181" s="5">
        <f t="shared" si="16"/>
        <v>-500</v>
      </c>
      <c r="G181" s="6">
        <f t="shared" si="17"/>
        <v>-1</v>
      </c>
    </row>
    <row r="182" spans="1:7" ht="20.100000000000001" customHeight="1" x14ac:dyDescent="0.25">
      <c r="A182" s="7" t="s">
        <v>410</v>
      </c>
      <c r="B182" s="8" t="s">
        <v>411</v>
      </c>
      <c r="C182" s="9">
        <v>500</v>
      </c>
      <c r="D182" s="9">
        <v>0</v>
      </c>
      <c r="E182" s="9">
        <f t="shared" si="15"/>
        <v>500</v>
      </c>
      <c r="F182" s="10">
        <f t="shared" si="16"/>
        <v>-500</v>
      </c>
      <c r="G182" s="11">
        <f t="shared" si="17"/>
        <v>-1</v>
      </c>
    </row>
    <row r="183" spans="1:7" ht="20.100000000000001" customHeight="1" x14ac:dyDescent="0.25">
      <c r="A183" s="2" t="s">
        <v>412</v>
      </c>
      <c r="B183" s="3" t="s">
        <v>413</v>
      </c>
      <c r="C183" s="4">
        <v>500</v>
      </c>
      <c r="D183" s="4">
        <v>0</v>
      </c>
      <c r="E183" s="4">
        <f t="shared" si="15"/>
        <v>500</v>
      </c>
      <c r="F183" s="5">
        <f t="shared" si="16"/>
        <v>-500</v>
      </c>
      <c r="G183" s="6">
        <f t="shared" si="17"/>
        <v>-1</v>
      </c>
    </row>
    <row r="184" spans="1:7" ht="20.100000000000001" customHeight="1" x14ac:dyDescent="0.25">
      <c r="A184" s="7" t="s">
        <v>428</v>
      </c>
      <c r="B184" s="8" t="s">
        <v>429</v>
      </c>
      <c r="C184" s="9">
        <v>14</v>
      </c>
      <c r="D184" s="9">
        <v>0</v>
      </c>
      <c r="E184" s="9">
        <f t="shared" si="15"/>
        <v>14</v>
      </c>
      <c r="F184" s="10">
        <f t="shared" si="16"/>
        <v>-14</v>
      </c>
      <c r="G184" s="11">
        <f t="shared" si="17"/>
        <v>-1</v>
      </c>
    </row>
    <row r="185" spans="1:7" ht="20.100000000000001" customHeight="1" x14ac:dyDescent="0.25">
      <c r="A185" s="2"/>
      <c r="B185" s="3" t="s">
        <v>432</v>
      </c>
      <c r="C185" s="4">
        <v>0</v>
      </c>
      <c r="D185" s="4">
        <v>0</v>
      </c>
      <c r="E185" s="4">
        <f t="shared" si="15"/>
        <v>0</v>
      </c>
      <c r="F185" s="5">
        <f t="shared" si="16"/>
        <v>0</v>
      </c>
      <c r="G185" s="6" t="str">
        <f t="shared" si="17"/>
        <v/>
      </c>
    </row>
    <row r="186" spans="1:7" ht="24" customHeight="1" x14ac:dyDescent="0.3">
      <c r="A186" s="12"/>
      <c r="B186" s="13" t="s">
        <v>433</v>
      </c>
      <c r="C186" s="14">
        <f>SUM(C5:C185)</f>
        <v>10711983</v>
      </c>
      <c r="D186" s="14">
        <f>SUM(D5:D185)</f>
        <v>7739051</v>
      </c>
      <c r="E186" s="14">
        <f>SUM(E5:E185)</f>
        <v>18451034</v>
      </c>
      <c r="F186" s="15">
        <f t="shared" si="16"/>
        <v>-2972932</v>
      </c>
      <c r="G186" s="16">
        <f t="shared" si="17"/>
        <v>-0.27753330079033917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workbookViewId="0">
      <pane xSplit="2" ySplit="4" topLeftCell="C5" activePane="bottomRight" state="frozen"/>
      <selection pane="topRight"/>
      <selection pane="bottomLeft"/>
      <selection pane="bottomRight" sqref="A1:G1"/>
    </sheetView>
  </sheetViews>
  <sheetFormatPr baseColWidth="10" defaultColWidth="9.140625" defaultRowHeight="15" x14ac:dyDescent="0.25"/>
  <cols>
    <col min="1" max="1" width="16" customWidth="1"/>
    <col min="2" max="2" width="47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435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13</v>
      </c>
      <c r="B5" s="3" t="s">
        <v>14</v>
      </c>
      <c r="C5" s="4">
        <v>3642051</v>
      </c>
      <c r="D5" s="4">
        <v>3740000</v>
      </c>
      <c r="E5" s="4">
        <f t="shared" ref="E5:E47" si="0">C5+D5</f>
        <v>7382051</v>
      </c>
      <c r="F5" s="5">
        <f t="shared" ref="F5:F48" si="1">D5-C5</f>
        <v>97949</v>
      </c>
      <c r="G5" s="6">
        <f t="shared" ref="G5:G48" si="2">IF(C5&gt;0, (D5-C5)/C5, "")</f>
        <v>2.6893912248894921E-2</v>
      </c>
    </row>
    <row r="6" spans="1:7" ht="20.100000000000001" customHeight="1" x14ac:dyDescent="0.25">
      <c r="A6" s="7" t="s">
        <v>16</v>
      </c>
      <c r="B6" s="8" t="s">
        <v>17</v>
      </c>
      <c r="C6" s="9">
        <v>3658000</v>
      </c>
      <c r="D6" s="9">
        <v>3248500</v>
      </c>
      <c r="E6" s="9">
        <f t="shared" si="0"/>
        <v>6906500</v>
      </c>
      <c r="F6" s="10">
        <f t="shared" si="1"/>
        <v>-409500</v>
      </c>
      <c r="G6" s="11">
        <f t="shared" si="2"/>
        <v>-0.11194641880809185</v>
      </c>
    </row>
    <row r="7" spans="1:7" ht="20.100000000000001" customHeight="1" x14ac:dyDescent="0.25">
      <c r="A7" s="2" t="s">
        <v>10</v>
      </c>
      <c r="B7" s="3" t="s">
        <v>11</v>
      </c>
      <c r="C7" s="4">
        <v>1330000</v>
      </c>
      <c r="D7" s="4">
        <v>316000</v>
      </c>
      <c r="E7" s="4">
        <f t="shared" si="0"/>
        <v>1646000</v>
      </c>
      <c r="F7" s="5">
        <f t="shared" si="1"/>
        <v>-1014000</v>
      </c>
      <c r="G7" s="6">
        <f t="shared" si="2"/>
        <v>-0.76240601503759398</v>
      </c>
    </row>
    <row r="8" spans="1:7" ht="20.100000000000001" customHeight="1" x14ac:dyDescent="0.25">
      <c r="A8" s="7" t="s">
        <v>24</v>
      </c>
      <c r="B8" s="8" t="s">
        <v>25</v>
      </c>
      <c r="C8" s="9">
        <v>477600</v>
      </c>
      <c r="D8" s="9">
        <v>560000</v>
      </c>
      <c r="E8" s="9">
        <f t="shared" si="0"/>
        <v>1037600</v>
      </c>
      <c r="F8" s="10">
        <f t="shared" si="1"/>
        <v>82400</v>
      </c>
      <c r="G8" s="11">
        <f t="shared" si="2"/>
        <v>0.17252931323283083</v>
      </c>
    </row>
    <row r="9" spans="1:7" ht="20.100000000000001" customHeight="1" x14ac:dyDescent="0.25">
      <c r="A9" s="2" t="s">
        <v>29</v>
      </c>
      <c r="B9" s="3" t="s">
        <v>30</v>
      </c>
      <c r="C9" s="4">
        <v>414061</v>
      </c>
      <c r="D9" s="4">
        <v>44376</v>
      </c>
      <c r="E9" s="4">
        <f t="shared" si="0"/>
        <v>458437</v>
      </c>
      <c r="F9" s="5">
        <f t="shared" si="1"/>
        <v>-369685</v>
      </c>
      <c r="G9" s="6">
        <f t="shared" si="2"/>
        <v>-0.89282738533694306</v>
      </c>
    </row>
    <row r="10" spans="1:7" ht="20.100000000000001" customHeight="1" x14ac:dyDescent="0.25">
      <c r="A10" s="7" t="s">
        <v>38</v>
      </c>
      <c r="B10" s="8" t="s">
        <v>39</v>
      </c>
      <c r="C10" s="9">
        <v>0</v>
      </c>
      <c r="D10" s="9">
        <v>243000</v>
      </c>
      <c r="E10" s="9">
        <f t="shared" si="0"/>
        <v>243000</v>
      </c>
      <c r="F10" s="10">
        <f t="shared" si="1"/>
        <v>243000</v>
      </c>
      <c r="G10" s="11" t="str">
        <f t="shared" si="2"/>
        <v/>
      </c>
    </row>
    <row r="11" spans="1:7" ht="20.100000000000001" customHeight="1" x14ac:dyDescent="0.25">
      <c r="A11" s="2" t="s">
        <v>32</v>
      </c>
      <c r="B11" s="3" t="s">
        <v>33</v>
      </c>
      <c r="C11" s="4">
        <v>0</v>
      </c>
      <c r="D11" s="4">
        <v>203000</v>
      </c>
      <c r="E11" s="4">
        <f t="shared" si="0"/>
        <v>203000</v>
      </c>
      <c r="F11" s="5">
        <f t="shared" si="1"/>
        <v>203000</v>
      </c>
      <c r="G11" s="6" t="str">
        <f t="shared" si="2"/>
        <v/>
      </c>
    </row>
    <row r="12" spans="1:7" ht="20.100000000000001" customHeight="1" x14ac:dyDescent="0.25">
      <c r="A12" s="7" t="s">
        <v>44</v>
      </c>
      <c r="B12" s="8" t="s">
        <v>45</v>
      </c>
      <c r="C12" s="9">
        <v>0</v>
      </c>
      <c r="D12" s="9">
        <v>158000</v>
      </c>
      <c r="E12" s="9">
        <f t="shared" si="0"/>
        <v>158000</v>
      </c>
      <c r="F12" s="10">
        <f t="shared" si="1"/>
        <v>158000</v>
      </c>
      <c r="G12" s="11" t="str">
        <f t="shared" si="2"/>
        <v/>
      </c>
    </row>
    <row r="13" spans="1:7" ht="20.100000000000001" customHeight="1" x14ac:dyDescent="0.25">
      <c r="A13" s="2" t="s">
        <v>67</v>
      </c>
      <c r="B13" s="3" t="s">
        <v>68</v>
      </c>
      <c r="C13" s="4">
        <v>29000</v>
      </c>
      <c r="D13" s="4">
        <v>70000</v>
      </c>
      <c r="E13" s="4">
        <f t="shared" si="0"/>
        <v>99000</v>
      </c>
      <c r="F13" s="5">
        <f t="shared" si="1"/>
        <v>41000</v>
      </c>
      <c r="G13" s="6">
        <f t="shared" si="2"/>
        <v>1.4137931034482758</v>
      </c>
    </row>
    <row r="14" spans="1:7" ht="20.100000000000001" customHeight="1" x14ac:dyDescent="0.25">
      <c r="A14" s="7" t="s">
        <v>59</v>
      </c>
      <c r="B14" s="8" t="s">
        <v>60</v>
      </c>
      <c r="C14" s="9">
        <v>30000</v>
      </c>
      <c r="D14" s="9">
        <v>60000</v>
      </c>
      <c r="E14" s="9">
        <f t="shared" si="0"/>
        <v>90000</v>
      </c>
      <c r="F14" s="10">
        <f t="shared" si="1"/>
        <v>30000</v>
      </c>
      <c r="G14" s="11">
        <f t="shared" si="2"/>
        <v>1</v>
      </c>
    </row>
    <row r="15" spans="1:7" ht="20.100000000000001" customHeight="1" x14ac:dyDescent="0.25">
      <c r="A15" s="2" t="s">
        <v>92</v>
      </c>
      <c r="B15" s="3" t="s">
        <v>93</v>
      </c>
      <c r="C15" s="4">
        <v>0</v>
      </c>
      <c r="D15" s="4">
        <v>60000</v>
      </c>
      <c r="E15" s="4">
        <f t="shared" si="0"/>
        <v>60000</v>
      </c>
      <c r="F15" s="5">
        <f t="shared" si="1"/>
        <v>60000</v>
      </c>
      <c r="G15" s="6" t="str">
        <f t="shared" si="2"/>
        <v/>
      </c>
    </row>
    <row r="16" spans="1:7" ht="20.100000000000001" customHeight="1" x14ac:dyDescent="0.25">
      <c r="A16" s="7" t="s">
        <v>57</v>
      </c>
      <c r="B16" s="8" t="s">
        <v>58</v>
      </c>
      <c r="C16" s="9">
        <v>20000</v>
      </c>
      <c r="D16" s="9">
        <v>40000</v>
      </c>
      <c r="E16" s="9">
        <f t="shared" si="0"/>
        <v>60000</v>
      </c>
      <c r="F16" s="10">
        <f t="shared" si="1"/>
        <v>20000</v>
      </c>
      <c r="G16" s="11">
        <f t="shared" si="2"/>
        <v>1</v>
      </c>
    </row>
    <row r="17" spans="1:7" ht="20.100000000000001" customHeight="1" x14ac:dyDescent="0.25">
      <c r="A17" s="2" t="s">
        <v>34</v>
      </c>
      <c r="B17" s="3" t="s">
        <v>35</v>
      </c>
      <c r="C17" s="4">
        <v>0</v>
      </c>
      <c r="D17" s="4">
        <v>50000</v>
      </c>
      <c r="E17" s="4">
        <f t="shared" si="0"/>
        <v>50000</v>
      </c>
      <c r="F17" s="5">
        <f t="shared" si="1"/>
        <v>50000</v>
      </c>
      <c r="G17" s="6" t="str">
        <f t="shared" si="2"/>
        <v/>
      </c>
    </row>
    <row r="18" spans="1:7" ht="20.100000000000001" customHeight="1" x14ac:dyDescent="0.25">
      <c r="A18" s="7" t="s">
        <v>104</v>
      </c>
      <c r="B18" s="8" t="s">
        <v>105</v>
      </c>
      <c r="C18" s="9">
        <v>25000</v>
      </c>
      <c r="D18" s="9">
        <v>20000</v>
      </c>
      <c r="E18" s="9">
        <f t="shared" si="0"/>
        <v>45000</v>
      </c>
      <c r="F18" s="10">
        <f t="shared" si="1"/>
        <v>-5000</v>
      </c>
      <c r="G18" s="11">
        <f t="shared" si="2"/>
        <v>-0.2</v>
      </c>
    </row>
    <row r="19" spans="1:7" ht="20.100000000000001" customHeight="1" x14ac:dyDescent="0.25">
      <c r="A19" s="2" t="s">
        <v>102</v>
      </c>
      <c r="B19" s="3" t="s">
        <v>103</v>
      </c>
      <c r="C19" s="4">
        <v>0</v>
      </c>
      <c r="D19" s="4">
        <v>40000</v>
      </c>
      <c r="E19" s="4">
        <f t="shared" si="0"/>
        <v>40000</v>
      </c>
      <c r="F19" s="5">
        <f t="shared" si="1"/>
        <v>40000</v>
      </c>
      <c r="G19" s="6" t="str">
        <f t="shared" si="2"/>
        <v/>
      </c>
    </row>
    <row r="20" spans="1:7" ht="20.100000000000001" customHeight="1" x14ac:dyDescent="0.25">
      <c r="A20" s="7" t="s">
        <v>81</v>
      </c>
      <c r="B20" s="8" t="s">
        <v>82</v>
      </c>
      <c r="C20" s="9">
        <v>8000</v>
      </c>
      <c r="D20" s="9">
        <v>29000</v>
      </c>
      <c r="E20" s="9">
        <f t="shared" si="0"/>
        <v>37000</v>
      </c>
      <c r="F20" s="10">
        <f t="shared" si="1"/>
        <v>21000</v>
      </c>
      <c r="G20" s="11">
        <f t="shared" si="2"/>
        <v>2.625</v>
      </c>
    </row>
    <row r="21" spans="1:7" ht="20.100000000000001" customHeight="1" x14ac:dyDescent="0.25">
      <c r="A21" s="2" t="s">
        <v>146</v>
      </c>
      <c r="B21" s="3" t="s">
        <v>147</v>
      </c>
      <c r="C21" s="4">
        <v>22000</v>
      </c>
      <c r="D21" s="4">
        <v>1000</v>
      </c>
      <c r="E21" s="4">
        <f t="shared" si="0"/>
        <v>23000</v>
      </c>
      <c r="F21" s="5">
        <f t="shared" si="1"/>
        <v>-21000</v>
      </c>
      <c r="G21" s="6">
        <f t="shared" si="2"/>
        <v>-0.95454545454545459</v>
      </c>
    </row>
    <row r="22" spans="1:7" ht="20.100000000000001" customHeight="1" x14ac:dyDescent="0.25">
      <c r="A22" s="7" t="s">
        <v>160</v>
      </c>
      <c r="B22" s="8" t="s">
        <v>161</v>
      </c>
      <c r="C22" s="9">
        <v>18980</v>
      </c>
      <c r="D22" s="9">
        <v>4000</v>
      </c>
      <c r="E22" s="9">
        <f t="shared" si="0"/>
        <v>22980</v>
      </c>
      <c r="F22" s="10">
        <f t="shared" si="1"/>
        <v>-14980</v>
      </c>
      <c r="G22" s="11">
        <f t="shared" si="2"/>
        <v>-0.78925184404636461</v>
      </c>
    </row>
    <row r="23" spans="1:7" ht="20.100000000000001" customHeight="1" x14ac:dyDescent="0.25">
      <c r="A23" s="2" t="s">
        <v>79</v>
      </c>
      <c r="B23" s="3" t="s">
        <v>80</v>
      </c>
      <c r="C23" s="4">
        <v>0</v>
      </c>
      <c r="D23" s="4">
        <v>20000</v>
      </c>
      <c r="E23" s="4">
        <f t="shared" si="0"/>
        <v>20000</v>
      </c>
      <c r="F23" s="5">
        <f t="shared" si="1"/>
        <v>20000</v>
      </c>
      <c r="G23" s="6" t="str">
        <f t="shared" si="2"/>
        <v/>
      </c>
    </row>
    <row r="24" spans="1:7" ht="20.100000000000001" customHeight="1" x14ac:dyDescent="0.25">
      <c r="A24" s="7" t="s">
        <v>182</v>
      </c>
      <c r="B24" s="8" t="s">
        <v>183</v>
      </c>
      <c r="C24" s="9">
        <v>9000</v>
      </c>
      <c r="D24" s="9">
        <v>10000</v>
      </c>
      <c r="E24" s="9">
        <f t="shared" si="0"/>
        <v>19000</v>
      </c>
      <c r="F24" s="10">
        <f t="shared" si="1"/>
        <v>1000</v>
      </c>
      <c r="G24" s="11">
        <f t="shared" si="2"/>
        <v>0.1111111111111111</v>
      </c>
    </row>
    <row r="25" spans="1:7" ht="20.100000000000001" customHeight="1" x14ac:dyDescent="0.25">
      <c r="A25" s="2" t="s">
        <v>144</v>
      </c>
      <c r="B25" s="3" t="s">
        <v>145</v>
      </c>
      <c r="C25" s="4">
        <v>0</v>
      </c>
      <c r="D25" s="4">
        <v>15000</v>
      </c>
      <c r="E25" s="4">
        <f t="shared" si="0"/>
        <v>15000</v>
      </c>
      <c r="F25" s="5">
        <f t="shared" si="1"/>
        <v>15000</v>
      </c>
      <c r="G25" s="6" t="str">
        <f t="shared" si="2"/>
        <v/>
      </c>
    </row>
    <row r="26" spans="1:7" ht="20.100000000000001" customHeight="1" x14ac:dyDescent="0.25">
      <c r="A26" s="7" t="s">
        <v>186</v>
      </c>
      <c r="B26" s="8" t="s">
        <v>187</v>
      </c>
      <c r="C26" s="9">
        <v>2000</v>
      </c>
      <c r="D26" s="9">
        <v>11200</v>
      </c>
      <c r="E26" s="9">
        <f t="shared" si="0"/>
        <v>13200</v>
      </c>
      <c r="F26" s="10">
        <f t="shared" si="1"/>
        <v>9200</v>
      </c>
      <c r="G26" s="11">
        <f t="shared" si="2"/>
        <v>4.5999999999999996</v>
      </c>
    </row>
    <row r="27" spans="1:7" ht="20.100000000000001" customHeight="1" x14ac:dyDescent="0.25">
      <c r="A27" s="2" t="s">
        <v>21</v>
      </c>
      <c r="B27" s="3" t="s">
        <v>22</v>
      </c>
      <c r="C27" s="4">
        <v>0</v>
      </c>
      <c r="D27" s="4">
        <v>10000</v>
      </c>
      <c r="E27" s="4">
        <f t="shared" si="0"/>
        <v>10000</v>
      </c>
      <c r="F27" s="5">
        <f t="shared" si="1"/>
        <v>10000</v>
      </c>
      <c r="G27" s="6" t="str">
        <f t="shared" si="2"/>
        <v/>
      </c>
    </row>
    <row r="28" spans="1:7" ht="20.100000000000001" customHeight="1" x14ac:dyDescent="0.25">
      <c r="A28" s="7" t="s">
        <v>197</v>
      </c>
      <c r="B28" s="8" t="s">
        <v>198</v>
      </c>
      <c r="C28" s="9">
        <v>5000</v>
      </c>
      <c r="D28" s="9">
        <v>5000</v>
      </c>
      <c r="E28" s="9">
        <f t="shared" si="0"/>
        <v>10000</v>
      </c>
      <c r="F28" s="10">
        <f t="shared" si="1"/>
        <v>0</v>
      </c>
      <c r="G28" s="11">
        <f t="shared" si="2"/>
        <v>0</v>
      </c>
    </row>
    <row r="29" spans="1:7" ht="20.100000000000001" customHeight="1" x14ac:dyDescent="0.25">
      <c r="A29" s="2" t="s">
        <v>170</v>
      </c>
      <c r="B29" s="3" t="s">
        <v>171</v>
      </c>
      <c r="C29" s="4">
        <v>5000</v>
      </c>
      <c r="D29" s="4">
        <v>5000</v>
      </c>
      <c r="E29" s="4">
        <f t="shared" si="0"/>
        <v>10000</v>
      </c>
      <c r="F29" s="5">
        <f t="shared" si="1"/>
        <v>0</v>
      </c>
      <c r="G29" s="6">
        <f t="shared" si="2"/>
        <v>0</v>
      </c>
    </row>
    <row r="30" spans="1:7" ht="20.100000000000001" customHeight="1" x14ac:dyDescent="0.25">
      <c r="A30" s="7" t="s">
        <v>273</v>
      </c>
      <c r="B30" s="8" t="s">
        <v>274</v>
      </c>
      <c r="C30" s="9">
        <v>0</v>
      </c>
      <c r="D30" s="9">
        <v>6000</v>
      </c>
      <c r="E30" s="9">
        <f t="shared" si="0"/>
        <v>6000</v>
      </c>
      <c r="F30" s="10">
        <f t="shared" si="1"/>
        <v>6000</v>
      </c>
      <c r="G30" s="11" t="str">
        <f t="shared" si="2"/>
        <v/>
      </c>
    </row>
    <row r="31" spans="1:7" ht="20.100000000000001" customHeight="1" x14ac:dyDescent="0.25">
      <c r="A31" s="2" t="s">
        <v>18</v>
      </c>
      <c r="B31" s="3" t="s">
        <v>19</v>
      </c>
      <c r="C31" s="4">
        <v>4000</v>
      </c>
      <c r="D31" s="4">
        <v>1500</v>
      </c>
      <c r="E31" s="4">
        <f t="shared" si="0"/>
        <v>5500</v>
      </c>
      <c r="F31" s="5">
        <f t="shared" si="1"/>
        <v>-2500</v>
      </c>
      <c r="G31" s="6">
        <f t="shared" si="2"/>
        <v>-0.625</v>
      </c>
    </row>
    <row r="32" spans="1:7" ht="20.100000000000001" customHeight="1" x14ac:dyDescent="0.25">
      <c r="A32" s="7" t="s">
        <v>126</v>
      </c>
      <c r="B32" s="8" t="s">
        <v>127</v>
      </c>
      <c r="C32" s="9">
        <v>0</v>
      </c>
      <c r="D32" s="9">
        <v>5500</v>
      </c>
      <c r="E32" s="9">
        <f t="shared" si="0"/>
        <v>5500</v>
      </c>
      <c r="F32" s="10">
        <f t="shared" si="1"/>
        <v>5500</v>
      </c>
      <c r="G32" s="11" t="str">
        <f t="shared" si="2"/>
        <v/>
      </c>
    </row>
    <row r="33" spans="1:7" ht="20.100000000000001" customHeight="1" x14ac:dyDescent="0.25">
      <c r="A33" s="2" t="s">
        <v>156</v>
      </c>
      <c r="B33" s="3" t="s">
        <v>157</v>
      </c>
      <c r="C33" s="4">
        <v>0</v>
      </c>
      <c r="D33" s="4">
        <v>5000</v>
      </c>
      <c r="E33" s="4">
        <f t="shared" si="0"/>
        <v>5000</v>
      </c>
      <c r="F33" s="5">
        <f t="shared" si="1"/>
        <v>5000</v>
      </c>
      <c r="G33" s="6" t="str">
        <f t="shared" si="2"/>
        <v/>
      </c>
    </row>
    <row r="34" spans="1:7" ht="20.100000000000001" customHeight="1" x14ac:dyDescent="0.25">
      <c r="A34" s="7" t="s">
        <v>225</v>
      </c>
      <c r="B34" s="8" t="s">
        <v>226</v>
      </c>
      <c r="C34" s="9">
        <v>0</v>
      </c>
      <c r="D34" s="9">
        <v>5000</v>
      </c>
      <c r="E34" s="9">
        <f t="shared" si="0"/>
        <v>5000</v>
      </c>
      <c r="F34" s="10">
        <f t="shared" si="1"/>
        <v>5000</v>
      </c>
      <c r="G34" s="11" t="str">
        <f t="shared" si="2"/>
        <v/>
      </c>
    </row>
    <row r="35" spans="1:7" ht="20.100000000000001" customHeight="1" x14ac:dyDescent="0.25">
      <c r="A35" s="2" t="s">
        <v>278</v>
      </c>
      <c r="B35" s="3" t="s">
        <v>279</v>
      </c>
      <c r="C35" s="4">
        <v>5000</v>
      </c>
      <c r="D35" s="4">
        <v>0</v>
      </c>
      <c r="E35" s="4">
        <f t="shared" si="0"/>
        <v>5000</v>
      </c>
      <c r="F35" s="5">
        <f t="shared" si="1"/>
        <v>-5000</v>
      </c>
      <c r="G35" s="6">
        <f t="shared" si="2"/>
        <v>-1</v>
      </c>
    </row>
    <row r="36" spans="1:7" ht="20.100000000000001" customHeight="1" x14ac:dyDescent="0.25">
      <c r="A36" s="7" t="s">
        <v>120</v>
      </c>
      <c r="B36" s="8" t="s">
        <v>121</v>
      </c>
      <c r="C36" s="9">
        <v>0</v>
      </c>
      <c r="D36" s="9">
        <v>4500</v>
      </c>
      <c r="E36" s="9">
        <f t="shared" si="0"/>
        <v>4500</v>
      </c>
      <c r="F36" s="10">
        <f t="shared" si="1"/>
        <v>4500</v>
      </c>
      <c r="G36" s="11" t="str">
        <f t="shared" si="2"/>
        <v/>
      </c>
    </row>
    <row r="37" spans="1:7" ht="20.100000000000001" customHeight="1" x14ac:dyDescent="0.25">
      <c r="A37" s="2" t="s">
        <v>344</v>
      </c>
      <c r="B37" s="3" t="s">
        <v>345</v>
      </c>
      <c r="C37" s="4">
        <v>2000</v>
      </c>
      <c r="D37" s="4">
        <v>0</v>
      </c>
      <c r="E37" s="4">
        <f t="shared" si="0"/>
        <v>2000</v>
      </c>
      <c r="F37" s="5">
        <f t="shared" si="1"/>
        <v>-2000</v>
      </c>
      <c r="G37" s="6">
        <f t="shared" si="2"/>
        <v>-1</v>
      </c>
    </row>
    <row r="38" spans="1:7" ht="20.100000000000001" customHeight="1" x14ac:dyDescent="0.25">
      <c r="A38" s="7" t="s">
        <v>364</v>
      </c>
      <c r="B38" s="8" t="s">
        <v>365</v>
      </c>
      <c r="C38" s="9">
        <v>2000</v>
      </c>
      <c r="D38" s="9">
        <v>0</v>
      </c>
      <c r="E38" s="9">
        <f t="shared" si="0"/>
        <v>2000</v>
      </c>
      <c r="F38" s="10">
        <f t="shared" si="1"/>
        <v>-2000</v>
      </c>
      <c r="G38" s="11">
        <f t="shared" si="2"/>
        <v>-1</v>
      </c>
    </row>
    <row r="39" spans="1:7" ht="20.100000000000001" customHeight="1" x14ac:dyDescent="0.25">
      <c r="A39" s="2" t="s">
        <v>174</v>
      </c>
      <c r="B39" s="3" t="s">
        <v>175</v>
      </c>
      <c r="C39" s="4">
        <v>0</v>
      </c>
      <c r="D39" s="4">
        <v>1000</v>
      </c>
      <c r="E39" s="4">
        <f t="shared" si="0"/>
        <v>1000</v>
      </c>
      <c r="F39" s="5">
        <f t="shared" si="1"/>
        <v>1000</v>
      </c>
      <c r="G39" s="6" t="str">
        <f t="shared" si="2"/>
        <v/>
      </c>
    </row>
    <row r="40" spans="1:7" ht="20.100000000000001" customHeight="1" x14ac:dyDescent="0.25">
      <c r="A40" s="7" t="s">
        <v>398</v>
      </c>
      <c r="B40" s="8" t="s">
        <v>399</v>
      </c>
      <c r="C40" s="9">
        <v>0</v>
      </c>
      <c r="D40" s="9">
        <v>1000</v>
      </c>
      <c r="E40" s="9">
        <f t="shared" si="0"/>
        <v>1000</v>
      </c>
      <c r="F40" s="10">
        <f t="shared" si="1"/>
        <v>1000</v>
      </c>
      <c r="G40" s="11" t="str">
        <f t="shared" si="2"/>
        <v/>
      </c>
    </row>
    <row r="41" spans="1:7" ht="20.100000000000001" customHeight="1" x14ac:dyDescent="0.25">
      <c r="A41" s="2" t="s">
        <v>75</v>
      </c>
      <c r="B41" s="3" t="s">
        <v>76</v>
      </c>
      <c r="C41" s="4">
        <v>0</v>
      </c>
      <c r="D41" s="4">
        <v>1000</v>
      </c>
      <c r="E41" s="4">
        <f t="shared" si="0"/>
        <v>1000</v>
      </c>
      <c r="F41" s="5">
        <f t="shared" si="1"/>
        <v>1000</v>
      </c>
      <c r="G41" s="6" t="str">
        <f t="shared" si="2"/>
        <v/>
      </c>
    </row>
    <row r="42" spans="1:7" ht="20.100000000000001" customHeight="1" x14ac:dyDescent="0.25">
      <c r="A42" s="7" t="s">
        <v>52</v>
      </c>
      <c r="B42" s="8" t="s">
        <v>53</v>
      </c>
      <c r="C42" s="9">
        <v>0</v>
      </c>
      <c r="D42" s="9">
        <v>1000</v>
      </c>
      <c r="E42" s="9">
        <f t="shared" si="0"/>
        <v>1000</v>
      </c>
      <c r="F42" s="10">
        <f t="shared" si="1"/>
        <v>1000</v>
      </c>
      <c r="G42" s="11" t="str">
        <f t="shared" si="2"/>
        <v/>
      </c>
    </row>
    <row r="43" spans="1:7" ht="20.100000000000001" customHeight="1" x14ac:dyDescent="0.25">
      <c r="A43" s="2" t="s">
        <v>400</v>
      </c>
      <c r="B43" s="3" t="s">
        <v>401</v>
      </c>
      <c r="C43" s="4">
        <v>0</v>
      </c>
      <c r="D43" s="4">
        <v>1000</v>
      </c>
      <c r="E43" s="4">
        <f t="shared" si="0"/>
        <v>1000</v>
      </c>
      <c r="F43" s="5">
        <f t="shared" si="1"/>
        <v>1000</v>
      </c>
      <c r="G43" s="6" t="str">
        <f t="shared" si="2"/>
        <v/>
      </c>
    </row>
    <row r="44" spans="1:7" ht="20.100000000000001" customHeight="1" x14ac:dyDescent="0.25">
      <c r="A44" s="7" t="s">
        <v>402</v>
      </c>
      <c r="B44" s="8" t="s">
        <v>403</v>
      </c>
      <c r="C44" s="9">
        <v>1000</v>
      </c>
      <c r="D44" s="9">
        <v>0</v>
      </c>
      <c r="E44" s="9">
        <f t="shared" si="0"/>
        <v>1000</v>
      </c>
      <c r="F44" s="10">
        <f t="shared" si="1"/>
        <v>-1000</v>
      </c>
      <c r="G44" s="11">
        <f t="shared" si="2"/>
        <v>-1</v>
      </c>
    </row>
    <row r="45" spans="1:7" ht="20.100000000000001" customHeight="1" x14ac:dyDescent="0.25">
      <c r="A45" s="2" t="s">
        <v>350</v>
      </c>
      <c r="B45" s="3" t="s">
        <v>351</v>
      </c>
      <c r="C45" s="4">
        <v>1000</v>
      </c>
      <c r="D45" s="4">
        <v>0</v>
      </c>
      <c r="E45" s="4">
        <f t="shared" si="0"/>
        <v>1000</v>
      </c>
      <c r="F45" s="5">
        <f t="shared" si="1"/>
        <v>-1000</v>
      </c>
      <c r="G45" s="6">
        <f t="shared" si="2"/>
        <v>-1</v>
      </c>
    </row>
    <row r="46" spans="1:7" ht="20.100000000000001" customHeight="1" x14ac:dyDescent="0.25">
      <c r="A46" s="7" t="s">
        <v>40</v>
      </c>
      <c r="B46" s="8" t="s">
        <v>41</v>
      </c>
      <c r="C46" s="9">
        <v>0</v>
      </c>
      <c r="D46" s="9">
        <v>700</v>
      </c>
      <c r="E46" s="9">
        <f t="shared" si="0"/>
        <v>700</v>
      </c>
      <c r="F46" s="10">
        <f t="shared" si="1"/>
        <v>700</v>
      </c>
      <c r="G46" s="11" t="str">
        <f t="shared" si="2"/>
        <v/>
      </c>
    </row>
    <row r="47" spans="1:7" ht="20.100000000000001" customHeight="1" x14ac:dyDescent="0.25">
      <c r="A47" s="2" t="s">
        <v>414</v>
      </c>
      <c r="B47" s="3" t="s">
        <v>415</v>
      </c>
      <c r="C47" s="4">
        <v>0</v>
      </c>
      <c r="D47" s="4">
        <v>500</v>
      </c>
      <c r="E47" s="4">
        <f t="shared" si="0"/>
        <v>500</v>
      </c>
      <c r="F47" s="5">
        <f t="shared" si="1"/>
        <v>500</v>
      </c>
      <c r="G47" s="6" t="str">
        <f t="shared" si="2"/>
        <v/>
      </c>
    </row>
    <row r="48" spans="1:7" ht="24" customHeight="1" x14ac:dyDescent="0.3">
      <c r="A48" s="12"/>
      <c r="B48" s="13" t="s">
        <v>433</v>
      </c>
      <c r="C48" s="14">
        <f>SUM(C5:C47)</f>
        <v>9710692</v>
      </c>
      <c r="D48" s="14">
        <f>SUM(D5:D47)</f>
        <v>8996776</v>
      </c>
      <c r="E48" s="14">
        <f>SUM(E5:E47)</f>
        <v>18707468</v>
      </c>
      <c r="F48" s="15">
        <f t="shared" si="1"/>
        <v>-713916</v>
      </c>
      <c r="G48" s="16">
        <f t="shared" si="2"/>
        <v>-7.3518550480233535E-2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pane xSplit="2" ySplit="4" topLeftCell="C5" activePane="bottomRight" state="frozen"/>
      <selection pane="topRight"/>
      <selection pane="bottomLeft"/>
      <selection pane="bottomRight" sqref="A1:G1"/>
    </sheetView>
  </sheetViews>
  <sheetFormatPr baseColWidth="10" defaultColWidth="9.140625" defaultRowHeight="15" x14ac:dyDescent="0.25"/>
  <cols>
    <col min="1" max="1" width="16" customWidth="1"/>
    <col min="2" max="2" width="37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436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197</v>
      </c>
      <c r="B5" s="3" t="s">
        <v>198</v>
      </c>
      <c r="C5" s="4">
        <v>0</v>
      </c>
      <c r="D5" s="4">
        <v>1800</v>
      </c>
      <c r="E5" s="4">
        <f t="shared" ref="E5:E15" si="0">C5+D5</f>
        <v>1800</v>
      </c>
      <c r="F5" s="5">
        <f t="shared" ref="F5:F16" si="1">D5-C5</f>
        <v>1800</v>
      </c>
      <c r="G5" s="6" t="str">
        <f t="shared" ref="G5:G16" si="2">IF(C5&gt;0, (D5-C5)/C5, "")</f>
        <v/>
      </c>
    </row>
    <row r="6" spans="1:7" ht="20.100000000000001" customHeight="1" x14ac:dyDescent="0.25">
      <c r="A6" s="7" t="s">
        <v>18</v>
      </c>
      <c r="B6" s="8" t="s">
        <v>19</v>
      </c>
      <c r="C6" s="9">
        <v>0</v>
      </c>
      <c r="D6" s="9">
        <v>1500</v>
      </c>
      <c r="E6" s="9">
        <f t="shared" si="0"/>
        <v>1500</v>
      </c>
      <c r="F6" s="10">
        <f t="shared" si="1"/>
        <v>1500</v>
      </c>
      <c r="G6" s="11" t="str">
        <f t="shared" si="2"/>
        <v/>
      </c>
    </row>
    <row r="7" spans="1:7" ht="20.100000000000001" customHeight="1" x14ac:dyDescent="0.25">
      <c r="A7" s="2" t="s">
        <v>40</v>
      </c>
      <c r="B7" s="3" t="s">
        <v>41</v>
      </c>
      <c r="C7" s="4">
        <v>0</v>
      </c>
      <c r="D7" s="4">
        <v>400</v>
      </c>
      <c r="E7" s="4">
        <f t="shared" si="0"/>
        <v>400</v>
      </c>
      <c r="F7" s="5">
        <f t="shared" si="1"/>
        <v>400</v>
      </c>
      <c r="G7" s="6" t="str">
        <f t="shared" si="2"/>
        <v/>
      </c>
    </row>
    <row r="8" spans="1:7" ht="20.100000000000001" customHeight="1" x14ac:dyDescent="0.25">
      <c r="A8" s="7" t="s">
        <v>322</v>
      </c>
      <c r="B8" s="8" t="s">
        <v>323</v>
      </c>
      <c r="C8" s="9">
        <v>0</v>
      </c>
      <c r="D8" s="9">
        <v>200</v>
      </c>
      <c r="E8" s="9">
        <f t="shared" si="0"/>
        <v>200</v>
      </c>
      <c r="F8" s="10">
        <f t="shared" si="1"/>
        <v>200</v>
      </c>
      <c r="G8" s="11" t="str">
        <f t="shared" si="2"/>
        <v/>
      </c>
    </row>
    <row r="9" spans="1:7" ht="20.100000000000001" customHeight="1" x14ac:dyDescent="0.25">
      <c r="A9" s="2" t="s">
        <v>24</v>
      </c>
      <c r="B9" s="3" t="s">
        <v>25</v>
      </c>
      <c r="C9" s="4">
        <v>0</v>
      </c>
      <c r="D9" s="4">
        <v>200</v>
      </c>
      <c r="E9" s="4">
        <f t="shared" si="0"/>
        <v>200</v>
      </c>
      <c r="F9" s="5">
        <f t="shared" si="1"/>
        <v>200</v>
      </c>
      <c r="G9" s="6" t="str">
        <f t="shared" si="2"/>
        <v/>
      </c>
    </row>
    <row r="10" spans="1:7" ht="20.100000000000001" customHeight="1" x14ac:dyDescent="0.25">
      <c r="A10" s="7" t="s">
        <v>416</v>
      </c>
      <c r="B10" s="8" t="s">
        <v>417</v>
      </c>
      <c r="C10" s="9">
        <v>0</v>
      </c>
      <c r="D10" s="9">
        <v>200</v>
      </c>
      <c r="E10" s="9">
        <f t="shared" si="0"/>
        <v>200</v>
      </c>
      <c r="F10" s="10">
        <f t="shared" si="1"/>
        <v>200</v>
      </c>
      <c r="G10" s="11" t="str">
        <f t="shared" si="2"/>
        <v/>
      </c>
    </row>
    <row r="11" spans="1:7" ht="20.100000000000001" customHeight="1" x14ac:dyDescent="0.25">
      <c r="A11" s="2" t="s">
        <v>52</v>
      </c>
      <c r="B11" s="3" t="s">
        <v>53</v>
      </c>
      <c r="C11" s="4">
        <v>0</v>
      </c>
      <c r="D11" s="4">
        <v>200</v>
      </c>
      <c r="E11" s="4">
        <f t="shared" si="0"/>
        <v>200</v>
      </c>
      <c r="F11" s="5">
        <f t="shared" si="1"/>
        <v>200</v>
      </c>
      <c r="G11" s="6" t="str">
        <f t="shared" si="2"/>
        <v/>
      </c>
    </row>
    <row r="12" spans="1:7" ht="20.100000000000001" customHeight="1" x14ac:dyDescent="0.25">
      <c r="A12" s="7" t="s">
        <v>186</v>
      </c>
      <c r="B12" s="8" t="s">
        <v>187</v>
      </c>
      <c r="C12" s="9">
        <v>0</v>
      </c>
      <c r="D12" s="9">
        <v>100</v>
      </c>
      <c r="E12" s="9">
        <f t="shared" si="0"/>
        <v>100</v>
      </c>
      <c r="F12" s="10">
        <f t="shared" si="1"/>
        <v>100</v>
      </c>
      <c r="G12" s="11" t="str">
        <f t="shared" si="2"/>
        <v/>
      </c>
    </row>
    <row r="13" spans="1:7" ht="20.100000000000001" customHeight="1" x14ac:dyDescent="0.25">
      <c r="A13" s="2" t="s">
        <v>418</v>
      </c>
      <c r="B13" s="3" t="s">
        <v>419</v>
      </c>
      <c r="C13" s="4">
        <v>0</v>
      </c>
      <c r="D13" s="4">
        <v>100</v>
      </c>
      <c r="E13" s="4">
        <f t="shared" si="0"/>
        <v>100</v>
      </c>
      <c r="F13" s="5">
        <f t="shared" si="1"/>
        <v>100</v>
      </c>
      <c r="G13" s="6" t="str">
        <f t="shared" si="2"/>
        <v/>
      </c>
    </row>
    <row r="14" spans="1:7" ht="20.100000000000001" customHeight="1" x14ac:dyDescent="0.25">
      <c r="A14" s="7" t="s">
        <v>273</v>
      </c>
      <c r="B14" s="8" t="s">
        <v>274</v>
      </c>
      <c r="C14" s="9">
        <v>0</v>
      </c>
      <c r="D14" s="9">
        <v>50</v>
      </c>
      <c r="E14" s="9">
        <f t="shared" si="0"/>
        <v>50</v>
      </c>
      <c r="F14" s="10">
        <f t="shared" si="1"/>
        <v>50</v>
      </c>
      <c r="G14" s="11" t="str">
        <f t="shared" si="2"/>
        <v/>
      </c>
    </row>
    <row r="15" spans="1:7" ht="20.100000000000001" customHeight="1" x14ac:dyDescent="0.25">
      <c r="A15" s="2" t="s">
        <v>344</v>
      </c>
      <c r="B15" s="3" t="s">
        <v>345</v>
      </c>
      <c r="C15" s="4">
        <v>0</v>
      </c>
      <c r="D15" s="4">
        <v>10</v>
      </c>
      <c r="E15" s="4">
        <f t="shared" si="0"/>
        <v>10</v>
      </c>
      <c r="F15" s="5">
        <f t="shared" si="1"/>
        <v>10</v>
      </c>
      <c r="G15" s="6" t="str">
        <f t="shared" si="2"/>
        <v/>
      </c>
    </row>
    <row r="16" spans="1:7" ht="24" customHeight="1" x14ac:dyDescent="0.3">
      <c r="A16" s="12"/>
      <c r="B16" s="13" t="s">
        <v>433</v>
      </c>
      <c r="C16" s="14">
        <f>SUM(C5:C15)</f>
        <v>0</v>
      </c>
      <c r="D16" s="14">
        <f>SUM(D5:D15)</f>
        <v>4760</v>
      </c>
      <c r="E16" s="14">
        <f>SUM(E5:E15)</f>
        <v>4760</v>
      </c>
      <c r="F16" s="15">
        <f t="shared" si="1"/>
        <v>4760</v>
      </c>
      <c r="G16" s="16" t="str">
        <f t="shared" si="2"/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7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437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29</v>
      </c>
      <c r="B5" s="3" t="s">
        <v>30</v>
      </c>
      <c r="C5" s="4">
        <v>6500</v>
      </c>
      <c r="D5" s="4">
        <v>0</v>
      </c>
      <c r="E5" s="4">
        <f t="shared" ref="E5:E18" si="0">C5+D5</f>
        <v>6500</v>
      </c>
      <c r="F5" s="5">
        <f t="shared" ref="F5:F19" si="1">D5-C5</f>
        <v>-6500</v>
      </c>
      <c r="G5" s="6">
        <f t="shared" ref="G5:G19" si="2">IF(C5&gt;0, (D5-C5)/C5, "")</f>
        <v>-1</v>
      </c>
    </row>
    <row r="6" spans="1:7" ht="20.100000000000001" customHeight="1" x14ac:dyDescent="0.25">
      <c r="A6" s="7" t="s">
        <v>197</v>
      </c>
      <c r="B6" s="8" t="s">
        <v>198</v>
      </c>
      <c r="C6" s="9">
        <v>400</v>
      </c>
      <c r="D6" s="9">
        <v>4200</v>
      </c>
      <c r="E6" s="9">
        <f t="shared" si="0"/>
        <v>4600</v>
      </c>
      <c r="F6" s="10">
        <f t="shared" si="1"/>
        <v>3800</v>
      </c>
      <c r="G6" s="11">
        <f t="shared" si="2"/>
        <v>9.5</v>
      </c>
    </row>
    <row r="7" spans="1:7" ht="20.100000000000001" customHeight="1" x14ac:dyDescent="0.25">
      <c r="A7" s="2" t="s">
        <v>146</v>
      </c>
      <c r="B7" s="3" t="s">
        <v>147</v>
      </c>
      <c r="C7" s="4">
        <v>4100</v>
      </c>
      <c r="D7" s="4">
        <v>0</v>
      </c>
      <c r="E7" s="4">
        <f t="shared" si="0"/>
        <v>4100</v>
      </c>
      <c r="F7" s="5">
        <f t="shared" si="1"/>
        <v>-4100</v>
      </c>
      <c r="G7" s="6">
        <f t="shared" si="2"/>
        <v>-1</v>
      </c>
    </row>
    <row r="8" spans="1:7" ht="20.100000000000001" customHeight="1" x14ac:dyDescent="0.25">
      <c r="A8" s="7" t="s">
        <v>18</v>
      </c>
      <c r="B8" s="8" t="s">
        <v>19</v>
      </c>
      <c r="C8" s="9">
        <v>900</v>
      </c>
      <c r="D8" s="9">
        <v>700</v>
      </c>
      <c r="E8" s="9">
        <f t="shared" si="0"/>
        <v>1600</v>
      </c>
      <c r="F8" s="10">
        <f t="shared" si="1"/>
        <v>-200</v>
      </c>
      <c r="G8" s="11">
        <f t="shared" si="2"/>
        <v>-0.22222222222222221</v>
      </c>
    </row>
    <row r="9" spans="1:7" ht="20.100000000000001" customHeight="1" x14ac:dyDescent="0.25">
      <c r="A9" s="2" t="s">
        <v>10</v>
      </c>
      <c r="B9" s="3" t="s">
        <v>11</v>
      </c>
      <c r="C9" s="4">
        <v>600</v>
      </c>
      <c r="D9" s="4">
        <v>0</v>
      </c>
      <c r="E9" s="4">
        <f t="shared" si="0"/>
        <v>600</v>
      </c>
      <c r="F9" s="5">
        <f t="shared" si="1"/>
        <v>-600</v>
      </c>
      <c r="G9" s="6">
        <f t="shared" si="2"/>
        <v>-1</v>
      </c>
    </row>
    <row r="10" spans="1:7" ht="20.100000000000001" customHeight="1" x14ac:dyDescent="0.25">
      <c r="A10" s="7" t="s">
        <v>372</v>
      </c>
      <c r="B10" s="8" t="s">
        <v>373</v>
      </c>
      <c r="C10" s="9">
        <v>500</v>
      </c>
      <c r="D10" s="9">
        <v>0</v>
      </c>
      <c r="E10" s="9">
        <f t="shared" si="0"/>
        <v>500</v>
      </c>
      <c r="F10" s="10">
        <f t="shared" si="1"/>
        <v>-500</v>
      </c>
      <c r="G10" s="11">
        <f t="shared" si="2"/>
        <v>-1</v>
      </c>
    </row>
    <row r="11" spans="1:7" ht="20.100000000000001" customHeight="1" x14ac:dyDescent="0.25">
      <c r="A11" s="2" t="s">
        <v>322</v>
      </c>
      <c r="B11" s="3" t="s">
        <v>323</v>
      </c>
      <c r="C11" s="4">
        <v>0</v>
      </c>
      <c r="D11" s="4">
        <v>200</v>
      </c>
      <c r="E11" s="4">
        <f t="shared" si="0"/>
        <v>200</v>
      </c>
      <c r="F11" s="5">
        <f t="shared" si="1"/>
        <v>200</v>
      </c>
      <c r="G11" s="6" t="str">
        <f t="shared" si="2"/>
        <v/>
      </c>
    </row>
    <row r="12" spans="1:7" ht="20.100000000000001" customHeight="1" x14ac:dyDescent="0.25">
      <c r="A12" s="7" t="s">
        <v>40</v>
      </c>
      <c r="B12" s="8" t="s">
        <v>41</v>
      </c>
      <c r="C12" s="9">
        <v>100</v>
      </c>
      <c r="D12" s="9">
        <v>100</v>
      </c>
      <c r="E12" s="9">
        <f t="shared" si="0"/>
        <v>200</v>
      </c>
      <c r="F12" s="10">
        <f t="shared" si="1"/>
        <v>0</v>
      </c>
      <c r="G12" s="11">
        <f t="shared" si="2"/>
        <v>0</v>
      </c>
    </row>
    <row r="13" spans="1:7" ht="20.100000000000001" customHeight="1" x14ac:dyDescent="0.25">
      <c r="A13" s="2" t="s">
        <v>52</v>
      </c>
      <c r="B13" s="3" t="s">
        <v>53</v>
      </c>
      <c r="C13" s="4">
        <v>0</v>
      </c>
      <c r="D13" s="4">
        <v>100</v>
      </c>
      <c r="E13" s="4">
        <f t="shared" si="0"/>
        <v>100</v>
      </c>
      <c r="F13" s="5">
        <f t="shared" si="1"/>
        <v>100</v>
      </c>
      <c r="G13" s="6" t="str">
        <f t="shared" si="2"/>
        <v/>
      </c>
    </row>
    <row r="14" spans="1:7" ht="20.100000000000001" customHeight="1" x14ac:dyDescent="0.25">
      <c r="A14" s="7" t="s">
        <v>418</v>
      </c>
      <c r="B14" s="8" t="s">
        <v>419</v>
      </c>
      <c r="C14" s="9">
        <v>0</v>
      </c>
      <c r="D14" s="9">
        <v>50</v>
      </c>
      <c r="E14" s="9">
        <f t="shared" si="0"/>
        <v>50</v>
      </c>
      <c r="F14" s="10">
        <f t="shared" si="1"/>
        <v>50</v>
      </c>
      <c r="G14" s="11" t="str">
        <f t="shared" si="2"/>
        <v/>
      </c>
    </row>
    <row r="15" spans="1:7" ht="20.100000000000001" customHeight="1" x14ac:dyDescent="0.25">
      <c r="A15" s="2" t="s">
        <v>273</v>
      </c>
      <c r="B15" s="3" t="s">
        <v>274</v>
      </c>
      <c r="C15" s="4">
        <v>0</v>
      </c>
      <c r="D15" s="4">
        <v>50</v>
      </c>
      <c r="E15" s="4">
        <f t="shared" si="0"/>
        <v>50</v>
      </c>
      <c r="F15" s="5">
        <f t="shared" si="1"/>
        <v>50</v>
      </c>
      <c r="G15" s="6" t="str">
        <f t="shared" si="2"/>
        <v/>
      </c>
    </row>
    <row r="16" spans="1:7" ht="20.100000000000001" customHeight="1" x14ac:dyDescent="0.25">
      <c r="A16" s="7" t="s">
        <v>416</v>
      </c>
      <c r="B16" s="8" t="s">
        <v>417</v>
      </c>
      <c r="C16" s="9">
        <v>50</v>
      </c>
      <c r="D16" s="9">
        <v>0</v>
      </c>
      <c r="E16" s="9">
        <f t="shared" si="0"/>
        <v>50</v>
      </c>
      <c r="F16" s="10">
        <f t="shared" si="1"/>
        <v>-50</v>
      </c>
      <c r="G16" s="11">
        <f t="shared" si="2"/>
        <v>-1</v>
      </c>
    </row>
    <row r="17" spans="1:7" ht="20.100000000000001" customHeight="1" x14ac:dyDescent="0.25">
      <c r="A17" s="2" t="s">
        <v>186</v>
      </c>
      <c r="B17" s="3" t="s">
        <v>187</v>
      </c>
      <c r="C17" s="4">
        <v>0</v>
      </c>
      <c r="D17" s="4">
        <v>40</v>
      </c>
      <c r="E17" s="4">
        <f t="shared" si="0"/>
        <v>40</v>
      </c>
      <c r="F17" s="5">
        <f t="shared" si="1"/>
        <v>40</v>
      </c>
      <c r="G17" s="6" t="str">
        <f t="shared" si="2"/>
        <v/>
      </c>
    </row>
    <row r="18" spans="1:7" ht="20.100000000000001" customHeight="1" x14ac:dyDescent="0.25">
      <c r="A18" s="7" t="s">
        <v>344</v>
      </c>
      <c r="B18" s="8" t="s">
        <v>345</v>
      </c>
      <c r="C18" s="9">
        <v>0</v>
      </c>
      <c r="D18" s="9">
        <v>10</v>
      </c>
      <c r="E18" s="9">
        <f t="shared" si="0"/>
        <v>10</v>
      </c>
      <c r="F18" s="10">
        <f t="shared" si="1"/>
        <v>10</v>
      </c>
      <c r="G18" s="11" t="str">
        <f t="shared" si="2"/>
        <v/>
      </c>
    </row>
    <row r="19" spans="1:7" ht="24" customHeight="1" x14ac:dyDescent="0.3">
      <c r="A19" s="12"/>
      <c r="B19" s="13" t="s">
        <v>433</v>
      </c>
      <c r="C19" s="14">
        <f>SUM(C5:C18)</f>
        <v>13150</v>
      </c>
      <c r="D19" s="14">
        <f>SUM(D5:D18)</f>
        <v>5450</v>
      </c>
      <c r="E19" s="14">
        <f>SUM(E5:E18)</f>
        <v>18600</v>
      </c>
      <c r="F19" s="15">
        <f t="shared" si="1"/>
        <v>-7700</v>
      </c>
      <c r="G19" s="16">
        <f t="shared" si="2"/>
        <v>-0.5855513307984791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7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438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29</v>
      </c>
      <c r="B5" s="3" t="s">
        <v>30</v>
      </c>
      <c r="C5" s="4">
        <v>5800</v>
      </c>
      <c r="D5" s="4">
        <v>0</v>
      </c>
      <c r="E5" s="4">
        <f t="shared" ref="E5:E17" si="0">C5+D5</f>
        <v>5800</v>
      </c>
      <c r="F5" s="5">
        <f t="shared" ref="F5:F18" si="1">D5-C5</f>
        <v>-5800</v>
      </c>
      <c r="G5" s="6">
        <f t="shared" ref="G5:G18" si="2">IF(C5&gt;0, (D5-C5)/C5, "")</f>
        <v>-1</v>
      </c>
    </row>
    <row r="6" spans="1:7" ht="20.100000000000001" customHeight="1" x14ac:dyDescent="0.25">
      <c r="A6" s="7" t="s">
        <v>18</v>
      </c>
      <c r="B6" s="8" t="s">
        <v>19</v>
      </c>
      <c r="C6" s="9">
        <v>900</v>
      </c>
      <c r="D6" s="9">
        <v>750</v>
      </c>
      <c r="E6" s="9">
        <f t="shared" si="0"/>
        <v>1650</v>
      </c>
      <c r="F6" s="10">
        <f t="shared" si="1"/>
        <v>-150</v>
      </c>
      <c r="G6" s="11">
        <f t="shared" si="2"/>
        <v>-0.16666666666666666</v>
      </c>
    </row>
    <row r="7" spans="1:7" ht="20.100000000000001" customHeight="1" x14ac:dyDescent="0.25">
      <c r="A7" s="2" t="s">
        <v>197</v>
      </c>
      <c r="B7" s="3" t="s">
        <v>198</v>
      </c>
      <c r="C7" s="4">
        <v>200</v>
      </c>
      <c r="D7" s="4">
        <v>1340</v>
      </c>
      <c r="E7" s="4">
        <f t="shared" si="0"/>
        <v>1540</v>
      </c>
      <c r="F7" s="5">
        <f t="shared" si="1"/>
        <v>1140</v>
      </c>
      <c r="G7" s="6">
        <f t="shared" si="2"/>
        <v>5.7</v>
      </c>
    </row>
    <row r="8" spans="1:7" ht="20.100000000000001" customHeight="1" x14ac:dyDescent="0.25">
      <c r="A8" s="7" t="s">
        <v>239</v>
      </c>
      <c r="B8" s="8" t="s">
        <v>240</v>
      </c>
      <c r="C8" s="9">
        <v>400</v>
      </c>
      <c r="D8" s="9">
        <v>0</v>
      </c>
      <c r="E8" s="9">
        <f t="shared" si="0"/>
        <v>400</v>
      </c>
      <c r="F8" s="10">
        <f t="shared" si="1"/>
        <v>-400</v>
      </c>
      <c r="G8" s="11">
        <f t="shared" si="2"/>
        <v>-1</v>
      </c>
    </row>
    <row r="9" spans="1:7" ht="20.100000000000001" customHeight="1" x14ac:dyDescent="0.25">
      <c r="A9" s="2" t="s">
        <v>40</v>
      </c>
      <c r="B9" s="3" t="s">
        <v>41</v>
      </c>
      <c r="C9" s="4">
        <v>100</v>
      </c>
      <c r="D9" s="4">
        <v>200</v>
      </c>
      <c r="E9" s="4">
        <f t="shared" si="0"/>
        <v>300</v>
      </c>
      <c r="F9" s="5">
        <f t="shared" si="1"/>
        <v>100</v>
      </c>
      <c r="G9" s="6">
        <f t="shared" si="2"/>
        <v>1</v>
      </c>
    </row>
    <row r="10" spans="1:7" ht="20.100000000000001" customHeight="1" x14ac:dyDescent="0.25">
      <c r="A10" s="7" t="s">
        <v>10</v>
      </c>
      <c r="B10" s="8" t="s">
        <v>11</v>
      </c>
      <c r="C10" s="9">
        <v>300</v>
      </c>
      <c r="D10" s="9">
        <v>0</v>
      </c>
      <c r="E10" s="9">
        <f t="shared" si="0"/>
        <v>300</v>
      </c>
      <c r="F10" s="10">
        <f t="shared" si="1"/>
        <v>-300</v>
      </c>
      <c r="G10" s="11">
        <f t="shared" si="2"/>
        <v>-1</v>
      </c>
    </row>
    <row r="11" spans="1:7" ht="20.100000000000001" customHeight="1" x14ac:dyDescent="0.25">
      <c r="A11" s="2" t="s">
        <v>322</v>
      </c>
      <c r="B11" s="3" t="s">
        <v>323</v>
      </c>
      <c r="C11" s="4">
        <v>0</v>
      </c>
      <c r="D11" s="4">
        <v>200</v>
      </c>
      <c r="E11" s="4">
        <f t="shared" si="0"/>
        <v>200</v>
      </c>
      <c r="F11" s="5">
        <f t="shared" si="1"/>
        <v>200</v>
      </c>
      <c r="G11" s="6" t="str">
        <f t="shared" si="2"/>
        <v/>
      </c>
    </row>
    <row r="12" spans="1:7" ht="20.100000000000001" customHeight="1" x14ac:dyDescent="0.25">
      <c r="A12" s="7" t="s">
        <v>52</v>
      </c>
      <c r="B12" s="8" t="s">
        <v>53</v>
      </c>
      <c r="C12" s="9">
        <v>0</v>
      </c>
      <c r="D12" s="9">
        <v>100</v>
      </c>
      <c r="E12" s="9">
        <f t="shared" si="0"/>
        <v>100</v>
      </c>
      <c r="F12" s="10">
        <f t="shared" si="1"/>
        <v>100</v>
      </c>
      <c r="G12" s="11" t="str">
        <f t="shared" si="2"/>
        <v/>
      </c>
    </row>
    <row r="13" spans="1:7" ht="20.100000000000001" customHeight="1" x14ac:dyDescent="0.25">
      <c r="A13" s="2" t="s">
        <v>146</v>
      </c>
      <c r="B13" s="3" t="s">
        <v>147</v>
      </c>
      <c r="C13" s="4">
        <v>100</v>
      </c>
      <c r="D13" s="4">
        <v>0</v>
      </c>
      <c r="E13" s="4">
        <f t="shared" si="0"/>
        <v>100</v>
      </c>
      <c r="F13" s="5">
        <f t="shared" si="1"/>
        <v>-100</v>
      </c>
      <c r="G13" s="6">
        <f t="shared" si="2"/>
        <v>-1</v>
      </c>
    </row>
    <row r="14" spans="1:7" ht="20.100000000000001" customHeight="1" x14ac:dyDescent="0.25">
      <c r="A14" s="7" t="s">
        <v>418</v>
      </c>
      <c r="B14" s="8" t="s">
        <v>419</v>
      </c>
      <c r="C14" s="9">
        <v>0</v>
      </c>
      <c r="D14" s="9">
        <v>50</v>
      </c>
      <c r="E14" s="9">
        <f t="shared" si="0"/>
        <v>50</v>
      </c>
      <c r="F14" s="10">
        <f t="shared" si="1"/>
        <v>50</v>
      </c>
      <c r="G14" s="11" t="str">
        <f t="shared" si="2"/>
        <v/>
      </c>
    </row>
    <row r="15" spans="1:7" ht="20.100000000000001" customHeight="1" x14ac:dyDescent="0.25">
      <c r="A15" s="2" t="s">
        <v>273</v>
      </c>
      <c r="B15" s="3" t="s">
        <v>274</v>
      </c>
      <c r="C15" s="4">
        <v>0</v>
      </c>
      <c r="D15" s="4">
        <v>50</v>
      </c>
      <c r="E15" s="4">
        <f t="shared" si="0"/>
        <v>50</v>
      </c>
      <c r="F15" s="5">
        <f t="shared" si="1"/>
        <v>50</v>
      </c>
      <c r="G15" s="6" t="str">
        <f t="shared" si="2"/>
        <v/>
      </c>
    </row>
    <row r="16" spans="1:7" ht="20.100000000000001" customHeight="1" x14ac:dyDescent="0.25">
      <c r="A16" s="7" t="s">
        <v>416</v>
      </c>
      <c r="B16" s="8" t="s">
        <v>417</v>
      </c>
      <c r="C16" s="9">
        <v>50</v>
      </c>
      <c r="D16" s="9">
        <v>0</v>
      </c>
      <c r="E16" s="9">
        <f t="shared" si="0"/>
        <v>50</v>
      </c>
      <c r="F16" s="10">
        <f t="shared" si="1"/>
        <v>-50</v>
      </c>
      <c r="G16" s="11">
        <f t="shared" si="2"/>
        <v>-1</v>
      </c>
    </row>
    <row r="17" spans="1:7" ht="20.100000000000001" customHeight="1" x14ac:dyDescent="0.25">
      <c r="A17" s="2" t="s">
        <v>186</v>
      </c>
      <c r="B17" s="3" t="s">
        <v>187</v>
      </c>
      <c r="C17" s="4">
        <v>0</v>
      </c>
      <c r="D17" s="4">
        <v>30</v>
      </c>
      <c r="E17" s="4">
        <f t="shared" si="0"/>
        <v>30</v>
      </c>
      <c r="F17" s="5">
        <f t="shared" si="1"/>
        <v>30</v>
      </c>
      <c r="G17" s="6" t="str">
        <f t="shared" si="2"/>
        <v/>
      </c>
    </row>
    <row r="18" spans="1:7" ht="24" customHeight="1" x14ac:dyDescent="0.3">
      <c r="A18" s="12"/>
      <c r="B18" s="13" t="s">
        <v>433</v>
      </c>
      <c r="C18" s="14">
        <f>SUM(C5:C17)</f>
        <v>7850</v>
      </c>
      <c r="D18" s="14">
        <f>SUM(D5:D17)</f>
        <v>2720</v>
      </c>
      <c r="E18" s="14">
        <f>SUM(E5:E17)</f>
        <v>10570</v>
      </c>
      <c r="F18" s="15">
        <f t="shared" si="1"/>
        <v>-5130</v>
      </c>
      <c r="G18" s="16">
        <f t="shared" si="2"/>
        <v>-0.65350318471337576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49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439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201</v>
      </c>
      <c r="B5" s="3" t="s">
        <v>202</v>
      </c>
      <c r="C5" s="4">
        <v>9025</v>
      </c>
      <c r="D5" s="4">
        <v>0</v>
      </c>
      <c r="E5" s="4">
        <f t="shared" ref="E5:E14" si="0">C5+D5</f>
        <v>9025</v>
      </c>
      <c r="F5" s="5">
        <f t="shared" ref="F5:F15" si="1">D5-C5</f>
        <v>-9025</v>
      </c>
      <c r="G5" s="6">
        <f t="shared" ref="G5:G15" si="2">IF(C5&gt;0, (D5-C5)/C5, "")</f>
        <v>-1</v>
      </c>
    </row>
    <row r="6" spans="1:7" ht="20.100000000000001" customHeight="1" x14ac:dyDescent="0.25">
      <c r="A6" s="7" t="s">
        <v>370</v>
      </c>
      <c r="B6" s="8" t="s">
        <v>371</v>
      </c>
      <c r="C6" s="9">
        <v>1200</v>
      </c>
      <c r="D6" s="9">
        <v>0</v>
      </c>
      <c r="E6" s="9">
        <f t="shared" si="0"/>
        <v>1200</v>
      </c>
      <c r="F6" s="10">
        <f t="shared" si="1"/>
        <v>-1200</v>
      </c>
      <c r="G6" s="11">
        <f t="shared" si="2"/>
        <v>-1</v>
      </c>
    </row>
    <row r="7" spans="1:7" ht="20.100000000000001" customHeight="1" x14ac:dyDescent="0.25">
      <c r="A7" s="2" t="s">
        <v>116</v>
      </c>
      <c r="B7" s="3" t="s">
        <v>117</v>
      </c>
      <c r="C7" s="4">
        <v>1000</v>
      </c>
      <c r="D7" s="4">
        <v>0</v>
      </c>
      <c r="E7" s="4">
        <f t="shared" si="0"/>
        <v>1000</v>
      </c>
      <c r="F7" s="5">
        <f t="shared" si="1"/>
        <v>-1000</v>
      </c>
      <c r="G7" s="6">
        <f t="shared" si="2"/>
        <v>-1</v>
      </c>
    </row>
    <row r="8" spans="1:7" ht="20.100000000000001" customHeight="1" x14ac:dyDescent="0.25">
      <c r="A8" s="7" t="s">
        <v>148</v>
      </c>
      <c r="B8" s="8" t="s">
        <v>149</v>
      </c>
      <c r="C8" s="9">
        <v>500</v>
      </c>
      <c r="D8" s="9">
        <v>0</v>
      </c>
      <c r="E8" s="9">
        <f t="shared" si="0"/>
        <v>500</v>
      </c>
      <c r="F8" s="10">
        <f t="shared" si="1"/>
        <v>-500</v>
      </c>
      <c r="G8" s="11">
        <f t="shared" si="2"/>
        <v>-1</v>
      </c>
    </row>
    <row r="9" spans="1:7" ht="20.100000000000001" customHeight="1" x14ac:dyDescent="0.25">
      <c r="A9" s="2" t="s">
        <v>237</v>
      </c>
      <c r="B9" s="3" t="s">
        <v>238</v>
      </c>
      <c r="C9" s="4">
        <v>250</v>
      </c>
      <c r="D9" s="4">
        <v>0</v>
      </c>
      <c r="E9" s="4">
        <f t="shared" si="0"/>
        <v>250</v>
      </c>
      <c r="F9" s="5">
        <f t="shared" si="1"/>
        <v>-250</v>
      </c>
      <c r="G9" s="6">
        <f t="shared" si="2"/>
        <v>-1</v>
      </c>
    </row>
    <row r="10" spans="1:7" ht="20.100000000000001" customHeight="1" x14ac:dyDescent="0.25">
      <c r="A10" s="7" t="s">
        <v>83</v>
      </c>
      <c r="B10" s="8" t="s">
        <v>84</v>
      </c>
      <c r="C10" s="9">
        <v>250</v>
      </c>
      <c r="D10" s="9">
        <v>0</v>
      </c>
      <c r="E10" s="9">
        <f t="shared" si="0"/>
        <v>250</v>
      </c>
      <c r="F10" s="10">
        <f t="shared" si="1"/>
        <v>-250</v>
      </c>
      <c r="G10" s="11">
        <f t="shared" si="2"/>
        <v>-1</v>
      </c>
    </row>
    <row r="11" spans="1:7" ht="20.100000000000001" customHeight="1" x14ac:dyDescent="0.25">
      <c r="A11" s="2" t="s">
        <v>422</v>
      </c>
      <c r="B11" s="3" t="s">
        <v>423</v>
      </c>
      <c r="C11" s="4">
        <v>0</v>
      </c>
      <c r="D11" s="4">
        <v>140</v>
      </c>
      <c r="E11" s="4">
        <f t="shared" si="0"/>
        <v>140</v>
      </c>
      <c r="F11" s="5">
        <f t="shared" si="1"/>
        <v>140</v>
      </c>
      <c r="G11" s="6" t="str">
        <f t="shared" si="2"/>
        <v/>
      </c>
    </row>
    <row r="12" spans="1:7" ht="20.100000000000001" customHeight="1" x14ac:dyDescent="0.25">
      <c r="A12" s="7" t="s">
        <v>406</v>
      </c>
      <c r="B12" s="8" t="s">
        <v>407</v>
      </c>
      <c r="C12" s="9">
        <v>100</v>
      </c>
      <c r="D12" s="9">
        <v>0</v>
      </c>
      <c r="E12" s="9">
        <f t="shared" si="0"/>
        <v>100</v>
      </c>
      <c r="F12" s="10">
        <f t="shared" si="1"/>
        <v>-100</v>
      </c>
      <c r="G12" s="11">
        <f t="shared" si="2"/>
        <v>-1</v>
      </c>
    </row>
    <row r="13" spans="1:7" ht="20.100000000000001" customHeight="1" x14ac:dyDescent="0.25">
      <c r="A13" s="2" t="s">
        <v>342</v>
      </c>
      <c r="B13" s="3" t="s">
        <v>343</v>
      </c>
      <c r="C13" s="4">
        <v>0</v>
      </c>
      <c r="D13" s="4">
        <v>20</v>
      </c>
      <c r="E13" s="4">
        <f t="shared" si="0"/>
        <v>20</v>
      </c>
      <c r="F13" s="5">
        <f t="shared" si="1"/>
        <v>20</v>
      </c>
      <c r="G13" s="6" t="str">
        <f t="shared" si="2"/>
        <v/>
      </c>
    </row>
    <row r="14" spans="1:7" ht="20.100000000000001" customHeight="1" x14ac:dyDescent="0.25">
      <c r="A14" s="7" t="s">
        <v>10</v>
      </c>
      <c r="B14" s="8" t="s">
        <v>11</v>
      </c>
      <c r="C14" s="9">
        <v>1</v>
      </c>
      <c r="D14" s="9">
        <v>0</v>
      </c>
      <c r="E14" s="9">
        <f t="shared" si="0"/>
        <v>1</v>
      </c>
      <c r="F14" s="10">
        <f t="shared" si="1"/>
        <v>-1</v>
      </c>
      <c r="G14" s="11">
        <f t="shared" si="2"/>
        <v>-1</v>
      </c>
    </row>
    <row r="15" spans="1:7" ht="24" customHeight="1" x14ac:dyDescent="0.3">
      <c r="A15" s="12"/>
      <c r="B15" s="13" t="s">
        <v>433</v>
      </c>
      <c r="C15" s="14">
        <f>SUM(C5:C14)</f>
        <v>12326</v>
      </c>
      <c r="D15" s="14">
        <f>SUM(D5:D14)</f>
        <v>160</v>
      </c>
      <c r="E15" s="14">
        <f>SUM(E5:E14)</f>
        <v>12486</v>
      </c>
      <c r="F15" s="15">
        <f t="shared" si="1"/>
        <v>-12166</v>
      </c>
      <c r="G15" s="16">
        <f t="shared" si="2"/>
        <v>-0.98701930877819244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52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440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116</v>
      </c>
      <c r="B5" s="3" t="s">
        <v>117</v>
      </c>
      <c r="C5" s="4">
        <v>500</v>
      </c>
      <c r="D5" s="4">
        <v>0</v>
      </c>
      <c r="E5" s="4">
        <f t="shared" ref="E5:E14" si="0">C5+D5</f>
        <v>500</v>
      </c>
      <c r="F5" s="5">
        <f t="shared" ref="F5:F15" si="1">D5-C5</f>
        <v>-500</v>
      </c>
      <c r="G5" s="6">
        <f t="shared" ref="G5:G15" si="2">IF(C5&gt;0, (D5-C5)/C5, "")</f>
        <v>-1</v>
      </c>
    </row>
    <row r="6" spans="1:7" ht="20.100000000000001" customHeight="1" x14ac:dyDescent="0.25">
      <c r="A6" s="7" t="s">
        <v>148</v>
      </c>
      <c r="B6" s="8" t="s">
        <v>149</v>
      </c>
      <c r="C6" s="9">
        <v>500</v>
      </c>
      <c r="D6" s="9">
        <v>0</v>
      </c>
      <c r="E6" s="9">
        <f t="shared" si="0"/>
        <v>500</v>
      </c>
      <c r="F6" s="10">
        <f t="shared" si="1"/>
        <v>-500</v>
      </c>
      <c r="G6" s="11">
        <f t="shared" si="2"/>
        <v>-1</v>
      </c>
    </row>
    <row r="7" spans="1:7" ht="20.100000000000001" customHeight="1" x14ac:dyDescent="0.25">
      <c r="A7" s="2" t="s">
        <v>237</v>
      </c>
      <c r="B7" s="3" t="s">
        <v>238</v>
      </c>
      <c r="C7" s="4">
        <v>250</v>
      </c>
      <c r="D7" s="4">
        <v>0</v>
      </c>
      <c r="E7" s="4">
        <f t="shared" si="0"/>
        <v>250</v>
      </c>
      <c r="F7" s="5">
        <f t="shared" si="1"/>
        <v>-250</v>
      </c>
      <c r="G7" s="6">
        <f t="shared" si="2"/>
        <v>-1</v>
      </c>
    </row>
    <row r="8" spans="1:7" ht="20.100000000000001" customHeight="1" x14ac:dyDescent="0.25">
      <c r="A8" s="7" t="s">
        <v>83</v>
      </c>
      <c r="B8" s="8" t="s">
        <v>84</v>
      </c>
      <c r="C8" s="9">
        <v>250</v>
      </c>
      <c r="D8" s="9">
        <v>0</v>
      </c>
      <c r="E8" s="9">
        <f t="shared" si="0"/>
        <v>250</v>
      </c>
      <c r="F8" s="10">
        <f t="shared" si="1"/>
        <v>-250</v>
      </c>
      <c r="G8" s="11">
        <f t="shared" si="2"/>
        <v>-1</v>
      </c>
    </row>
    <row r="9" spans="1:7" ht="20.100000000000001" customHeight="1" x14ac:dyDescent="0.25">
      <c r="A9" s="2" t="s">
        <v>188</v>
      </c>
      <c r="B9" s="3" t="s">
        <v>189</v>
      </c>
      <c r="C9" s="4">
        <v>100</v>
      </c>
      <c r="D9" s="4">
        <v>0</v>
      </c>
      <c r="E9" s="4">
        <f t="shared" si="0"/>
        <v>100</v>
      </c>
      <c r="F9" s="5">
        <f t="shared" si="1"/>
        <v>-100</v>
      </c>
      <c r="G9" s="6">
        <f t="shared" si="2"/>
        <v>-1</v>
      </c>
    </row>
    <row r="10" spans="1:7" ht="20.100000000000001" customHeight="1" x14ac:dyDescent="0.25">
      <c r="A10" s="7" t="s">
        <v>314</v>
      </c>
      <c r="B10" s="8" t="s">
        <v>315</v>
      </c>
      <c r="C10" s="9">
        <v>90</v>
      </c>
      <c r="D10" s="9">
        <v>0</v>
      </c>
      <c r="E10" s="9">
        <f t="shared" si="0"/>
        <v>90</v>
      </c>
      <c r="F10" s="10">
        <f t="shared" si="1"/>
        <v>-90</v>
      </c>
      <c r="G10" s="11">
        <f t="shared" si="2"/>
        <v>-1</v>
      </c>
    </row>
    <row r="11" spans="1:7" ht="20.100000000000001" customHeight="1" x14ac:dyDescent="0.25">
      <c r="A11" s="2" t="s">
        <v>420</v>
      </c>
      <c r="B11" s="3" t="s">
        <v>421</v>
      </c>
      <c r="C11" s="4">
        <v>0</v>
      </c>
      <c r="D11" s="4">
        <v>87</v>
      </c>
      <c r="E11" s="4">
        <f t="shared" si="0"/>
        <v>87</v>
      </c>
      <c r="F11" s="5">
        <f t="shared" si="1"/>
        <v>87</v>
      </c>
      <c r="G11" s="6" t="str">
        <f t="shared" si="2"/>
        <v/>
      </c>
    </row>
    <row r="12" spans="1:7" ht="20.100000000000001" customHeight="1" x14ac:dyDescent="0.25">
      <c r="A12" s="7" t="s">
        <v>122</v>
      </c>
      <c r="B12" s="8" t="s">
        <v>123</v>
      </c>
      <c r="C12" s="9">
        <v>50</v>
      </c>
      <c r="D12" s="9">
        <v>0</v>
      </c>
      <c r="E12" s="9">
        <f t="shared" si="0"/>
        <v>50</v>
      </c>
      <c r="F12" s="10">
        <f t="shared" si="1"/>
        <v>-50</v>
      </c>
      <c r="G12" s="11">
        <f t="shared" si="2"/>
        <v>-1</v>
      </c>
    </row>
    <row r="13" spans="1:7" ht="20.100000000000001" customHeight="1" x14ac:dyDescent="0.25">
      <c r="A13" s="2" t="s">
        <v>342</v>
      </c>
      <c r="B13" s="3" t="s">
        <v>343</v>
      </c>
      <c r="C13" s="4">
        <v>0</v>
      </c>
      <c r="D13" s="4">
        <v>20</v>
      </c>
      <c r="E13" s="4">
        <f t="shared" si="0"/>
        <v>20</v>
      </c>
      <c r="F13" s="5">
        <f t="shared" si="1"/>
        <v>20</v>
      </c>
      <c r="G13" s="6" t="str">
        <f t="shared" si="2"/>
        <v/>
      </c>
    </row>
    <row r="14" spans="1:7" ht="20.100000000000001" customHeight="1" x14ac:dyDescent="0.25">
      <c r="A14" s="7" t="s">
        <v>320</v>
      </c>
      <c r="B14" s="8" t="s">
        <v>321</v>
      </c>
      <c r="C14" s="9">
        <v>10</v>
      </c>
      <c r="D14" s="9">
        <v>0</v>
      </c>
      <c r="E14" s="9">
        <f t="shared" si="0"/>
        <v>10</v>
      </c>
      <c r="F14" s="10">
        <f t="shared" si="1"/>
        <v>-10</v>
      </c>
      <c r="G14" s="11">
        <f t="shared" si="2"/>
        <v>-1</v>
      </c>
    </row>
    <row r="15" spans="1:7" ht="24" customHeight="1" x14ac:dyDescent="0.3">
      <c r="A15" s="12"/>
      <c r="B15" s="13" t="s">
        <v>433</v>
      </c>
      <c r="C15" s="14">
        <f>SUM(C5:C14)</f>
        <v>1750</v>
      </c>
      <c r="D15" s="14">
        <f>SUM(D5:D14)</f>
        <v>107</v>
      </c>
      <c r="E15" s="14">
        <f>SUM(E5:E14)</f>
        <v>1857</v>
      </c>
      <c r="F15" s="15">
        <f t="shared" si="1"/>
        <v>-1643</v>
      </c>
      <c r="G15" s="16">
        <f t="shared" si="2"/>
        <v>-0.93885714285714283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49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441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237</v>
      </c>
      <c r="B5" s="3" t="s">
        <v>238</v>
      </c>
      <c r="C5" s="4">
        <v>500</v>
      </c>
      <c r="D5" s="4">
        <v>0</v>
      </c>
      <c r="E5" s="4">
        <f t="shared" ref="E5:E16" si="0">C5+D5</f>
        <v>500</v>
      </c>
      <c r="F5" s="5">
        <f t="shared" ref="F5:F17" si="1">D5-C5</f>
        <v>-500</v>
      </c>
      <c r="G5" s="6">
        <f t="shared" ref="G5:G17" si="2">IF(C5&gt;0, (D5-C5)/C5, "")</f>
        <v>-1</v>
      </c>
    </row>
    <row r="6" spans="1:7" ht="20.100000000000001" customHeight="1" x14ac:dyDescent="0.25">
      <c r="A6" s="7" t="s">
        <v>148</v>
      </c>
      <c r="B6" s="8" t="s">
        <v>149</v>
      </c>
      <c r="C6" s="9">
        <v>500</v>
      </c>
      <c r="D6" s="9">
        <v>0</v>
      </c>
      <c r="E6" s="9">
        <f t="shared" si="0"/>
        <v>500</v>
      </c>
      <c r="F6" s="10">
        <f t="shared" si="1"/>
        <v>-500</v>
      </c>
      <c r="G6" s="11">
        <f t="shared" si="2"/>
        <v>-1</v>
      </c>
    </row>
    <row r="7" spans="1:7" ht="20.100000000000001" customHeight="1" x14ac:dyDescent="0.25">
      <c r="A7" s="2" t="s">
        <v>83</v>
      </c>
      <c r="B7" s="3" t="s">
        <v>84</v>
      </c>
      <c r="C7" s="4">
        <v>250</v>
      </c>
      <c r="D7" s="4">
        <v>0</v>
      </c>
      <c r="E7" s="4">
        <f t="shared" si="0"/>
        <v>250</v>
      </c>
      <c r="F7" s="5">
        <f t="shared" si="1"/>
        <v>-250</v>
      </c>
      <c r="G7" s="6">
        <f t="shared" si="2"/>
        <v>-1</v>
      </c>
    </row>
    <row r="8" spans="1:7" ht="20.100000000000001" customHeight="1" x14ac:dyDescent="0.25">
      <c r="A8" s="7" t="s">
        <v>10</v>
      </c>
      <c r="B8" s="8" t="s">
        <v>11</v>
      </c>
      <c r="C8" s="9">
        <v>205</v>
      </c>
      <c r="D8" s="9">
        <v>0</v>
      </c>
      <c r="E8" s="9">
        <f t="shared" si="0"/>
        <v>205</v>
      </c>
      <c r="F8" s="10">
        <f t="shared" si="1"/>
        <v>-205</v>
      </c>
      <c r="G8" s="11">
        <f t="shared" si="2"/>
        <v>-1</v>
      </c>
    </row>
    <row r="9" spans="1:7" ht="20.100000000000001" customHeight="1" x14ac:dyDescent="0.25">
      <c r="A9" s="2" t="s">
        <v>116</v>
      </c>
      <c r="B9" s="3" t="s">
        <v>117</v>
      </c>
      <c r="C9" s="4">
        <v>200</v>
      </c>
      <c r="D9" s="4">
        <v>0</v>
      </c>
      <c r="E9" s="4">
        <f t="shared" si="0"/>
        <v>200</v>
      </c>
      <c r="F9" s="5">
        <f t="shared" si="1"/>
        <v>-200</v>
      </c>
      <c r="G9" s="6">
        <f t="shared" si="2"/>
        <v>-1</v>
      </c>
    </row>
    <row r="10" spans="1:7" ht="20.100000000000001" customHeight="1" x14ac:dyDescent="0.25">
      <c r="A10" s="7" t="s">
        <v>18</v>
      </c>
      <c r="B10" s="8" t="s">
        <v>19</v>
      </c>
      <c r="C10" s="9">
        <v>200</v>
      </c>
      <c r="D10" s="9">
        <v>0</v>
      </c>
      <c r="E10" s="9">
        <f t="shared" si="0"/>
        <v>200</v>
      </c>
      <c r="F10" s="10">
        <f t="shared" si="1"/>
        <v>-200</v>
      </c>
      <c r="G10" s="11">
        <f t="shared" si="2"/>
        <v>-1</v>
      </c>
    </row>
    <row r="11" spans="1:7" ht="20.100000000000001" customHeight="1" x14ac:dyDescent="0.25">
      <c r="A11" s="2" t="s">
        <v>50</v>
      </c>
      <c r="B11" s="3" t="s">
        <v>51</v>
      </c>
      <c r="C11" s="4">
        <v>190</v>
      </c>
      <c r="D11" s="4">
        <v>0</v>
      </c>
      <c r="E11" s="4">
        <f t="shared" si="0"/>
        <v>190</v>
      </c>
      <c r="F11" s="5">
        <f t="shared" si="1"/>
        <v>-190</v>
      </c>
      <c r="G11" s="6">
        <f t="shared" si="2"/>
        <v>-1</v>
      </c>
    </row>
    <row r="12" spans="1:7" ht="20.100000000000001" customHeight="1" x14ac:dyDescent="0.25">
      <c r="A12" s="7" t="s">
        <v>188</v>
      </c>
      <c r="B12" s="8" t="s">
        <v>189</v>
      </c>
      <c r="C12" s="9">
        <v>150</v>
      </c>
      <c r="D12" s="9">
        <v>0</v>
      </c>
      <c r="E12" s="9">
        <f t="shared" si="0"/>
        <v>150</v>
      </c>
      <c r="F12" s="10">
        <f t="shared" si="1"/>
        <v>-150</v>
      </c>
      <c r="G12" s="11">
        <f t="shared" si="2"/>
        <v>-1</v>
      </c>
    </row>
    <row r="13" spans="1:7" ht="20.100000000000001" customHeight="1" x14ac:dyDescent="0.25">
      <c r="A13" s="2" t="s">
        <v>320</v>
      </c>
      <c r="B13" s="3" t="s">
        <v>321</v>
      </c>
      <c r="C13" s="4">
        <v>40</v>
      </c>
      <c r="D13" s="4">
        <v>0</v>
      </c>
      <c r="E13" s="4">
        <f t="shared" si="0"/>
        <v>40</v>
      </c>
      <c r="F13" s="5">
        <f t="shared" si="1"/>
        <v>-40</v>
      </c>
      <c r="G13" s="6">
        <f t="shared" si="2"/>
        <v>-1</v>
      </c>
    </row>
    <row r="14" spans="1:7" ht="20.100000000000001" customHeight="1" x14ac:dyDescent="0.25">
      <c r="A14" s="7" t="s">
        <v>342</v>
      </c>
      <c r="B14" s="8" t="s">
        <v>343</v>
      </c>
      <c r="C14" s="9">
        <v>0</v>
      </c>
      <c r="D14" s="9">
        <v>20</v>
      </c>
      <c r="E14" s="9">
        <f t="shared" si="0"/>
        <v>20</v>
      </c>
      <c r="F14" s="10">
        <f t="shared" si="1"/>
        <v>20</v>
      </c>
      <c r="G14" s="11" t="str">
        <f t="shared" si="2"/>
        <v/>
      </c>
    </row>
    <row r="15" spans="1:7" ht="20.100000000000001" customHeight="1" x14ac:dyDescent="0.25">
      <c r="A15" s="2" t="s">
        <v>424</v>
      </c>
      <c r="B15" s="3" t="s">
        <v>425</v>
      </c>
      <c r="C15" s="4">
        <v>20</v>
      </c>
      <c r="D15" s="4">
        <v>0</v>
      </c>
      <c r="E15" s="4">
        <f t="shared" si="0"/>
        <v>20</v>
      </c>
      <c r="F15" s="5">
        <f t="shared" si="1"/>
        <v>-20</v>
      </c>
      <c r="G15" s="6">
        <f t="shared" si="2"/>
        <v>-1</v>
      </c>
    </row>
    <row r="16" spans="1:7" ht="20.100000000000001" customHeight="1" x14ac:dyDescent="0.25">
      <c r="A16" s="7" t="s">
        <v>426</v>
      </c>
      <c r="B16" s="8" t="s">
        <v>427</v>
      </c>
      <c r="C16" s="9">
        <v>10</v>
      </c>
      <c r="D16" s="9">
        <v>0</v>
      </c>
      <c r="E16" s="9">
        <f t="shared" si="0"/>
        <v>10</v>
      </c>
      <c r="F16" s="10">
        <f t="shared" si="1"/>
        <v>-10</v>
      </c>
      <c r="G16" s="11">
        <f t="shared" si="2"/>
        <v>-1</v>
      </c>
    </row>
    <row r="17" spans="1:7" ht="24" customHeight="1" x14ac:dyDescent="0.3">
      <c r="A17" s="12"/>
      <c r="B17" s="13" t="s">
        <v>433</v>
      </c>
      <c r="C17" s="14">
        <f>SUM(C5:C16)</f>
        <v>2265</v>
      </c>
      <c r="D17" s="14">
        <f>SUM(D5:D16)</f>
        <v>20</v>
      </c>
      <c r="E17" s="14">
        <f>SUM(E5:E16)</f>
        <v>2285</v>
      </c>
      <c r="F17" s="15">
        <f t="shared" si="1"/>
        <v>-2245</v>
      </c>
      <c r="G17" s="16">
        <f t="shared" si="2"/>
        <v>-0.99116997792494477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7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442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29</v>
      </c>
      <c r="B5" s="3" t="s">
        <v>30</v>
      </c>
      <c r="C5" s="4">
        <v>2698</v>
      </c>
      <c r="D5" s="4">
        <v>0</v>
      </c>
      <c r="E5" s="4">
        <f t="shared" ref="E5:E15" si="0">C5+D5</f>
        <v>2698</v>
      </c>
      <c r="F5" s="5">
        <f t="shared" ref="F5:F16" si="1">D5-C5</f>
        <v>-2698</v>
      </c>
      <c r="G5" s="6">
        <f t="shared" ref="G5:G16" si="2">IF(C5&gt;0, (D5-C5)/C5, "")</f>
        <v>-1</v>
      </c>
    </row>
    <row r="6" spans="1:7" ht="20.100000000000001" customHeight="1" x14ac:dyDescent="0.25">
      <c r="A6" s="7" t="s">
        <v>18</v>
      </c>
      <c r="B6" s="8" t="s">
        <v>19</v>
      </c>
      <c r="C6" s="9">
        <v>1000</v>
      </c>
      <c r="D6" s="9">
        <v>820</v>
      </c>
      <c r="E6" s="9">
        <f t="shared" si="0"/>
        <v>1820</v>
      </c>
      <c r="F6" s="10">
        <f t="shared" si="1"/>
        <v>-180</v>
      </c>
      <c r="G6" s="11">
        <f t="shared" si="2"/>
        <v>-0.18</v>
      </c>
    </row>
    <row r="7" spans="1:7" ht="20.100000000000001" customHeight="1" x14ac:dyDescent="0.25">
      <c r="A7" s="2" t="s">
        <v>239</v>
      </c>
      <c r="B7" s="3" t="s">
        <v>240</v>
      </c>
      <c r="C7" s="4">
        <v>600</v>
      </c>
      <c r="D7" s="4">
        <v>0</v>
      </c>
      <c r="E7" s="4">
        <f t="shared" si="0"/>
        <v>600</v>
      </c>
      <c r="F7" s="5">
        <f t="shared" si="1"/>
        <v>-600</v>
      </c>
      <c r="G7" s="6">
        <f t="shared" si="2"/>
        <v>-1</v>
      </c>
    </row>
    <row r="8" spans="1:7" ht="20.100000000000001" customHeight="1" x14ac:dyDescent="0.25">
      <c r="A8" s="7" t="s">
        <v>40</v>
      </c>
      <c r="B8" s="8" t="s">
        <v>41</v>
      </c>
      <c r="C8" s="9">
        <v>50</v>
      </c>
      <c r="D8" s="9">
        <v>130</v>
      </c>
      <c r="E8" s="9">
        <f t="shared" si="0"/>
        <v>180</v>
      </c>
      <c r="F8" s="10">
        <f t="shared" si="1"/>
        <v>80</v>
      </c>
      <c r="G8" s="11">
        <f t="shared" si="2"/>
        <v>1.6</v>
      </c>
    </row>
    <row r="9" spans="1:7" ht="20.100000000000001" customHeight="1" x14ac:dyDescent="0.25">
      <c r="A9" s="2" t="s">
        <v>10</v>
      </c>
      <c r="B9" s="3" t="s">
        <v>11</v>
      </c>
      <c r="C9" s="4">
        <v>152</v>
      </c>
      <c r="D9" s="4">
        <v>0</v>
      </c>
      <c r="E9" s="4">
        <f t="shared" si="0"/>
        <v>152</v>
      </c>
      <c r="F9" s="5">
        <f t="shared" si="1"/>
        <v>-152</v>
      </c>
      <c r="G9" s="6">
        <f t="shared" si="2"/>
        <v>-1</v>
      </c>
    </row>
    <row r="10" spans="1:7" ht="20.100000000000001" customHeight="1" x14ac:dyDescent="0.25">
      <c r="A10" s="7" t="s">
        <v>52</v>
      </c>
      <c r="B10" s="8" t="s">
        <v>53</v>
      </c>
      <c r="C10" s="9">
        <v>0</v>
      </c>
      <c r="D10" s="9">
        <v>100</v>
      </c>
      <c r="E10" s="9">
        <f t="shared" si="0"/>
        <v>100</v>
      </c>
      <c r="F10" s="10">
        <f t="shared" si="1"/>
        <v>100</v>
      </c>
      <c r="G10" s="11" t="str">
        <f t="shared" si="2"/>
        <v/>
      </c>
    </row>
    <row r="11" spans="1:7" ht="20.100000000000001" customHeight="1" x14ac:dyDescent="0.25">
      <c r="A11" s="2" t="s">
        <v>372</v>
      </c>
      <c r="B11" s="3" t="s">
        <v>373</v>
      </c>
      <c r="C11" s="4">
        <v>100</v>
      </c>
      <c r="D11" s="4">
        <v>0</v>
      </c>
      <c r="E11" s="4">
        <f t="shared" si="0"/>
        <v>100</v>
      </c>
      <c r="F11" s="5">
        <f t="shared" si="1"/>
        <v>-100</v>
      </c>
      <c r="G11" s="6">
        <f t="shared" si="2"/>
        <v>-1</v>
      </c>
    </row>
    <row r="12" spans="1:7" ht="20.100000000000001" customHeight="1" x14ac:dyDescent="0.25">
      <c r="A12" s="7" t="s">
        <v>273</v>
      </c>
      <c r="B12" s="8" t="s">
        <v>274</v>
      </c>
      <c r="C12" s="9">
        <v>0</v>
      </c>
      <c r="D12" s="9">
        <v>60</v>
      </c>
      <c r="E12" s="9">
        <f t="shared" si="0"/>
        <v>60</v>
      </c>
      <c r="F12" s="10">
        <f t="shared" si="1"/>
        <v>60</v>
      </c>
      <c r="G12" s="11" t="str">
        <f t="shared" si="2"/>
        <v/>
      </c>
    </row>
    <row r="13" spans="1:7" ht="20.100000000000001" customHeight="1" x14ac:dyDescent="0.25">
      <c r="A13" s="2" t="s">
        <v>418</v>
      </c>
      <c r="B13" s="3" t="s">
        <v>419</v>
      </c>
      <c r="C13" s="4">
        <v>0</v>
      </c>
      <c r="D13" s="4">
        <v>50</v>
      </c>
      <c r="E13" s="4">
        <f t="shared" si="0"/>
        <v>50</v>
      </c>
      <c r="F13" s="5">
        <f t="shared" si="1"/>
        <v>50</v>
      </c>
      <c r="G13" s="6" t="str">
        <f t="shared" si="2"/>
        <v/>
      </c>
    </row>
    <row r="14" spans="1:7" ht="20.100000000000001" customHeight="1" x14ac:dyDescent="0.25">
      <c r="A14" s="7" t="s">
        <v>416</v>
      </c>
      <c r="B14" s="8" t="s">
        <v>417</v>
      </c>
      <c r="C14" s="9">
        <v>50</v>
      </c>
      <c r="D14" s="9">
        <v>0</v>
      </c>
      <c r="E14" s="9">
        <f t="shared" si="0"/>
        <v>50</v>
      </c>
      <c r="F14" s="10">
        <f t="shared" si="1"/>
        <v>-50</v>
      </c>
      <c r="G14" s="11">
        <f t="shared" si="2"/>
        <v>-1</v>
      </c>
    </row>
    <row r="15" spans="1:7" ht="20.100000000000001" customHeight="1" x14ac:dyDescent="0.25">
      <c r="A15" s="2" t="s">
        <v>344</v>
      </c>
      <c r="B15" s="3" t="s">
        <v>345</v>
      </c>
      <c r="C15" s="4">
        <v>0</v>
      </c>
      <c r="D15" s="4">
        <v>10</v>
      </c>
      <c r="E15" s="4">
        <f t="shared" si="0"/>
        <v>10</v>
      </c>
      <c r="F15" s="5">
        <f t="shared" si="1"/>
        <v>10</v>
      </c>
      <c r="G15" s="6" t="str">
        <f t="shared" si="2"/>
        <v/>
      </c>
    </row>
    <row r="16" spans="1:7" ht="24" customHeight="1" x14ac:dyDescent="0.3">
      <c r="A16" s="12"/>
      <c r="B16" s="13" t="s">
        <v>433</v>
      </c>
      <c r="C16" s="14">
        <f>SUM(C5:C15)</f>
        <v>4650</v>
      </c>
      <c r="D16" s="14">
        <f>SUM(D5:D15)</f>
        <v>1170</v>
      </c>
      <c r="E16" s="14">
        <f>SUM(E5:E15)</f>
        <v>5820</v>
      </c>
      <c r="F16" s="15">
        <f t="shared" si="1"/>
        <v>-3480</v>
      </c>
      <c r="G16" s="16">
        <f t="shared" si="2"/>
        <v>-0.74838709677419357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5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443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29</v>
      </c>
      <c r="B5" s="3" t="s">
        <v>30</v>
      </c>
      <c r="C5" s="4">
        <v>2700</v>
      </c>
      <c r="D5" s="4">
        <v>0</v>
      </c>
      <c r="E5" s="4">
        <f t="shared" ref="E5:E10" si="0">C5+D5</f>
        <v>2700</v>
      </c>
      <c r="F5" s="5">
        <f t="shared" ref="F5:F11" si="1">D5-C5</f>
        <v>-2700</v>
      </c>
      <c r="G5" s="6">
        <f t="shared" ref="G5:G11" si="2">IF(C5&gt;0, (D5-C5)/C5, "")</f>
        <v>-1</v>
      </c>
    </row>
    <row r="6" spans="1:7" ht="20.100000000000001" customHeight="1" x14ac:dyDescent="0.25">
      <c r="A6" s="7" t="s">
        <v>18</v>
      </c>
      <c r="B6" s="8" t="s">
        <v>19</v>
      </c>
      <c r="C6" s="9">
        <v>800</v>
      </c>
      <c r="D6" s="9">
        <v>900</v>
      </c>
      <c r="E6" s="9">
        <f t="shared" si="0"/>
        <v>1700</v>
      </c>
      <c r="F6" s="10">
        <f t="shared" si="1"/>
        <v>100</v>
      </c>
      <c r="G6" s="11">
        <f t="shared" si="2"/>
        <v>0.125</v>
      </c>
    </row>
    <row r="7" spans="1:7" ht="20.100000000000001" customHeight="1" x14ac:dyDescent="0.25">
      <c r="A7" s="2" t="s">
        <v>372</v>
      </c>
      <c r="B7" s="3" t="s">
        <v>373</v>
      </c>
      <c r="C7" s="4">
        <v>500</v>
      </c>
      <c r="D7" s="4">
        <v>0</v>
      </c>
      <c r="E7" s="4">
        <f t="shared" si="0"/>
        <v>500</v>
      </c>
      <c r="F7" s="5">
        <f t="shared" si="1"/>
        <v>-500</v>
      </c>
      <c r="G7" s="6">
        <f t="shared" si="2"/>
        <v>-1</v>
      </c>
    </row>
    <row r="8" spans="1:7" ht="20.100000000000001" customHeight="1" x14ac:dyDescent="0.25">
      <c r="A8" s="7" t="s">
        <v>40</v>
      </c>
      <c r="B8" s="8" t="s">
        <v>41</v>
      </c>
      <c r="C8" s="9">
        <v>0</v>
      </c>
      <c r="D8" s="9">
        <v>50</v>
      </c>
      <c r="E8" s="9">
        <f t="shared" si="0"/>
        <v>50</v>
      </c>
      <c r="F8" s="10">
        <f t="shared" si="1"/>
        <v>50</v>
      </c>
      <c r="G8" s="11" t="str">
        <f t="shared" si="2"/>
        <v/>
      </c>
    </row>
    <row r="9" spans="1:7" ht="20.100000000000001" customHeight="1" x14ac:dyDescent="0.25">
      <c r="A9" s="2" t="s">
        <v>416</v>
      </c>
      <c r="B9" s="3" t="s">
        <v>417</v>
      </c>
      <c r="C9" s="4">
        <v>50</v>
      </c>
      <c r="D9" s="4">
        <v>0</v>
      </c>
      <c r="E9" s="4">
        <f t="shared" si="0"/>
        <v>50</v>
      </c>
      <c r="F9" s="5">
        <f t="shared" si="1"/>
        <v>-50</v>
      </c>
      <c r="G9" s="6">
        <f t="shared" si="2"/>
        <v>-1</v>
      </c>
    </row>
    <row r="10" spans="1:7" ht="20.100000000000001" customHeight="1" x14ac:dyDescent="0.25">
      <c r="A10" s="7" t="s">
        <v>273</v>
      </c>
      <c r="B10" s="8" t="s">
        <v>274</v>
      </c>
      <c r="C10" s="9">
        <v>0</v>
      </c>
      <c r="D10" s="9">
        <v>30</v>
      </c>
      <c r="E10" s="9">
        <f t="shared" si="0"/>
        <v>30</v>
      </c>
      <c r="F10" s="10">
        <f t="shared" si="1"/>
        <v>30</v>
      </c>
      <c r="G10" s="11" t="str">
        <f t="shared" si="2"/>
        <v/>
      </c>
    </row>
    <row r="11" spans="1:7" ht="24" customHeight="1" x14ac:dyDescent="0.3">
      <c r="A11" s="12"/>
      <c r="B11" s="13" t="s">
        <v>433</v>
      </c>
      <c r="C11" s="14">
        <f>SUM(C5:C10)</f>
        <v>4050</v>
      </c>
      <c r="D11" s="14">
        <f>SUM(D5:D10)</f>
        <v>980</v>
      </c>
      <c r="E11" s="14">
        <f>SUM(E5:E10)</f>
        <v>5030</v>
      </c>
      <c r="F11" s="15">
        <f t="shared" si="1"/>
        <v>-3070</v>
      </c>
      <c r="G11" s="16">
        <f t="shared" si="2"/>
        <v>-0.75802469135802464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56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444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18</v>
      </c>
      <c r="B5" s="3" t="s">
        <v>19</v>
      </c>
      <c r="C5" s="4">
        <v>600</v>
      </c>
      <c r="D5" s="4">
        <v>0</v>
      </c>
      <c r="E5" s="4">
        <f t="shared" ref="E5:E21" si="0">C5+D5</f>
        <v>600</v>
      </c>
      <c r="F5" s="5">
        <f t="shared" ref="F5:F22" si="1">D5-C5</f>
        <v>-600</v>
      </c>
      <c r="G5" s="6">
        <f t="shared" ref="G5:G22" si="2">IF(C5&gt;0, (D5-C5)/C5, "")</f>
        <v>-1</v>
      </c>
    </row>
    <row r="6" spans="1:7" ht="20.100000000000001" customHeight="1" x14ac:dyDescent="0.25">
      <c r="A6" s="7" t="s">
        <v>237</v>
      </c>
      <c r="B6" s="8" t="s">
        <v>238</v>
      </c>
      <c r="C6" s="9">
        <v>200</v>
      </c>
      <c r="D6" s="9">
        <v>0</v>
      </c>
      <c r="E6" s="9">
        <f t="shared" si="0"/>
        <v>200</v>
      </c>
      <c r="F6" s="10">
        <f t="shared" si="1"/>
        <v>-200</v>
      </c>
      <c r="G6" s="11">
        <f t="shared" si="2"/>
        <v>-1</v>
      </c>
    </row>
    <row r="7" spans="1:7" ht="20.100000000000001" customHeight="1" x14ac:dyDescent="0.25">
      <c r="A7" s="2" t="s">
        <v>148</v>
      </c>
      <c r="B7" s="3" t="s">
        <v>149</v>
      </c>
      <c r="C7" s="4">
        <v>200</v>
      </c>
      <c r="D7" s="4">
        <v>0</v>
      </c>
      <c r="E7" s="4">
        <f t="shared" si="0"/>
        <v>200</v>
      </c>
      <c r="F7" s="5">
        <f t="shared" si="1"/>
        <v>-200</v>
      </c>
      <c r="G7" s="6">
        <f t="shared" si="2"/>
        <v>-1</v>
      </c>
    </row>
    <row r="8" spans="1:7" ht="20.100000000000001" customHeight="1" x14ac:dyDescent="0.25">
      <c r="A8" s="7" t="s">
        <v>188</v>
      </c>
      <c r="B8" s="8" t="s">
        <v>189</v>
      </c>
      <c r="C8" s="9">
        <v>100</v>
      </c>
      <c r="D8" s="9">
        <v>0</v>
      </c>
      <c r="E8" s="9">
        <f t="shared" si="0"/>
        <v>100</v>
      </c>
      <c r="F8" s="10">
        <f t="shared" si="1"/>
        <v>-100</v>
      </c>
      <c r="G8" s="11">
        <f t="shared" si="2"/>
        <v>-1</v>
      </c>
    </row>
    <row r="9" spans="1:7" ht="20.100000000000001" customHeight="1" x14ac:dyDescent="0.25">
      <c r="A9" s="2" t="s">
        <v>116</v>
      </c>
      <c r="B9" s="3" t="s">
        <v>117</v>
      </c>
      <c r="C9" s="4">
        <v>100</v>
      </c>
      <c r="D9" s="4">
        <v>0</v>
      </c>
      <c r="E9" s="4">
        <f t="shared" si="0"/>
        <v>100</v>
      </c>
      <c r="F9" s="5">
        <f t="shared" si="1"/>
        <v>-100</v>
      </c>
      <c r="G9" s="6">
        <f t="shared" si="2"/>
        <v>-1</v>
      </c>
    </row>
    <row r="10" spans="1:7" ht="20.100000000000001" customHeight="1" x14ac:dyDescent="0.25">
      <c r="A10" s="7" t="s">
        <v>83</v>
      </c>
      <c r="B10" s="8" t="s">
        <v>84</v>
      </c>
      <c r="C10" s="9">
        <v>100</v>
      </c>
      <c r="D10" s="9">
        <v>0</v>
      </c>
      <c r="E10" s="9">
        <f t="shared" si="0"/>
        <v>100</v>
      </c>
      <c r="F10" s="10">
        <f t="shared" si="1"/>
        <v>-100</v>
      </c>
      <c r="G10" s="11">
        <f t="shared" si="2"/>
        <v>-1</v>
      </c>
    </row>
    <row r="11" spans="1:7" ht="20.100000000000001" customHeight="1" x14ac:dyDescent="0.25">
      <c r="A11" s="2" t="s">
        <v>36</v>
      </c>
      <c r="B11" s="3" t="s">
        <v>37</v>
      </c>
      <c r="C11" s="4">
        <v>100</v>
      </c>
      <c r="D11" s="4">
        <v>0</v>
      </c>
      <c r="E11" s="4">
        <f t="shared" si="0"/>
        <v>100</v>
      </c>
      <c r="F11" s="5">
        <f t="shared" si="1"/>
        <v>-100</v>
      </c>
      <c r="G11" s="6">
        <f t="shared" si="2"/>
        <v>-1</v>
      </c>
    </row>
    <row r="12" spans="1:7" ht="20.100000000000001" customHeight="1" x14ac:dyDescent="0.25">
      <c r="A12" s="7" t="s">
        <v>263</v>
      </c>
      <c r="B12" s="8" t="s">
        <v>264</v>
      </c>
      <c r="C12" s="9">
        <v>100</v>
      </c>
      <c r="D12" s="9">
        <v>0</v>
      </c>
      <c r="E12" s="9">
        <f t="shared" si="0"/>
        <v>100</v>
      </c>
      <c r="F12" s="10">
        <f t="shared" si="1"/>
        <v>-100</v>
      </c>
      <c r="G12" s="11">
        <f t="shared" si="2"/>
        <v>-1</v>
      </c>
    </row>
    <row r="13" spans="1:7" ht="20.100000000000001" customHeight="1" x14ac:dyDescent="0.25">
      <c r="A13" s="2" t="s">
        <v>71</v>
      </c>
      <c r="B13" s="3" t="s">
        <v>72</v>
      </c>
      <c r="C13" s="4">
        <v>100</v>
      </c>
      <c r="D13" s="4">
        <v>0</v>
      </c>
      <c r="E13" s="4">
        <f t="shared" si="0"/>
        <v>100</v>
      </c>
      <c r="F13" s="5">
        <f t="shared" si="1"/>
        <v>-100</v>
      </c>
      <c r="G13" s="6">
        <f t="shared" si="2"/>
        <v>-1</v>
      </c>
    </row>
    <row r="14" spans="1:7" ht="20.100000000000001" customHeight="1" x14ac:dyDescent="0.25">
      <c r="A14" s="7"/>
      <c r="B14" s="8" t="s">
        <v>91</v>
      </c>
      <c r="C14" s="9">
        <v>80</v>
      </c>
      <c r="D14" s="9">
        <v>0</v>
      </c>
      <c r="E14" s="9">
        <f t="shared" si="0"/>
        <v>80</v>
      </c>
      <c r="F14" s="10">
        <f t="shared" si="1"/>
        <v>-80</v>
      </c>
      <c r="G14" s="11">
        <f t="shared" si="2"/>
        <v>-1</v>
      </c>
    </row>
    <row r="15" spans="1:7" ht="20.100000000000001" customHeight="1" x14ac:dyDescent="0.25">
      <c r="A15" s="2" t="s">
        <v>424</v>
      </c>
      <c r="B15" s="3" t="s">
        <v>425</v>
      </c>
      <c r="C15" s="4">
        <v>80</v>
      </c>
      <c r="D15" s="4">
        <v>0</v>
      </c>
      <c r="E15" s="4">
        <f t="shared" si="0"/>
        <v>80</v>
      </c>
      <c r="F15" s="5">
        <f t="shared" si="1"/>
        <v>-80</v>
      </c>
      <c r="G15" s="6">
        <f t="shared" si="2"/>
        <v>-1</v>
      </c>
    </row>
    <row r="16" spans="1:7" ht="20.100000000000001" customHeight="1" x14ac:dyDescent="0.25">
      <c r="A16" s="7" t="s">
        <v>320</v>
      </c>
      <c r="B16" s="8" t="s">
        <v>321</v>
      </c>
      <c r="C16" s="9">
        <v>60</v>
      </c>
      <c r="D16" s="9">
        <v>0</v>
      </c>
      <c r="E16" s="9">
        <f t="shared" si="0"/>
        <v>60</v>
      </c>
      <c r="F16" s="10">
        <f t="shared" si="1"/>
        <v>-60</v>
      </c>
      <c r="G16" s="11">
        <f t="shared" si="2"/>
        <v>-1</v>
      </c>
    </row>
    <row r="17" spans="1:7" ht="20.100000000000001" customHeight="1" x14ac:dyDescent="0.25">
      <c r="A17" s="2" t="s">
        <v>314</v>
      </c>
      <c r="B17" s="3" t="s">
        <v>315</v>
      </c>
      <c r="C17" s="4">
        <v>50</v>
      </c>
      <c r="D17" s="4">
        <v>0</v>
      </c>
      <c r="E17" s="4">
        <f t="shared" si="0"/>
        <v>50</v>
      </c>
      <c r="F17" s="5">
        <f t="shared" si="1"/>
        <v>-50</v>
      </c>
      <c r="G17" s="6">
        <f t="shared" si="2"/>
        <v>-1</v>
      </c>
    </row>
    <row r="18" spans="1:7" ht="20.100000000000001" customHeight="1" x14ac:dyDescent="0.25">
      <c r="A18" s="7" t="s">
        <v>420</v>
      </c>
      <c r="B18" s="8" t="s">
        <v>421</v>
      </c>
      <c r="C18" s="9">
        <v>0</v>
      </c>
      <c r="D18" s="9">
        <v>36</v>
      </c>
      <c r="E18" s="9">
        <f t="shared" si="0"/>
        <v>36</v>
      </c>
      <c r="F18" s="10">
        <f t="shared" si="1"/>
        <v>36</v>
      </c>
      <c r="G18" s="11" t="str">
        <f t="shared" si="2"/>
        <v/>
      </c>
    </row>
    <row r="19" spans="1:7" ht="20.100000000000001" customHeight="1" x14ac:dyDescent="0.25">
      <c r="A19" s="2" t="s">
        <v>430</v>
      </c>
      <c r="B19" s="3" t="s">
        <v>431</v>
      </c>
      <c r="C19" s="4">
        <v>10</v>
      </c>
      <c r="D19" s="4">
        <v>0</v>
      </c>
      <c r="E19" s="4">
        <f t="shared" si="0"/>
        <v>10</v>
      </c>
      <c r="F19" s="5">
        <f t="shared" si="1"/>
        <v>-10</v>
      </c>
      <c r="G19" s="6">
        <f t="shared" si="2"/>
        <v>-1</v>
      </c>
    </row>
    <row r="20" spans="1:7" ht="20.100000000000001" customHeight="1" x14ac:dyDescent="0.25">
      <c r="A20" s="7" t="s">
        <v>276</v>
      </c>
      <c r="B20" s="8" t="s">
        <v>277</v>
      </c>
      <c r="C20" s="9">
        <v>10</v>
      </c>
      <c r="D20" s="9">
        <v>0</v>
      </c>
      <c r="E20" s="9">
        <f t="shared" si="0"/>
        <v>10</v>
      </c>
      <c r="F20" s="10">
        <f t="shared" si="1"/>
        <v>-10</v>
      </c>
      <c r="G20" s="11">
        <f t="shared" si="2"/>
        <v>-1</v>
      </c>
    </row>
    <row r="21" spans="1:7" ht="20.100000000000001" customHeight="1" x14ac:dyDescent="0.25">
      <c r="A21" s="2" t="s">
        <v>122</v>
      </c>
      <c r="B21" s="3" t="s">
        <v>123</v>
      </c>
      <c r="C21" s="4">
        <v>10</v>
      </c>
      <c r="D21" s="4">
        <v>0</v>
      </c>
      <c r="E21" s="4">
        <f t="shared" si="0"/>
        <v>10</v>
      </c>
      <c r="F21" s="5">
        <f t="shared" si="1"/>
        <v>-10</v>
      </c>
      <c r="G21" s="6">
        <f t="shared" si="2"/>
        <v>-1</v>
      </c>
    </row>
    <row r="22" spans="1:7" ht="24" customHeight="1" x14ac:dyDescent="0.3">
      <c r="A22" s="12"/>
      <c r="B22" s="13" t="s">
        <v>433</v>
      </c>
      <c r="C22" s="14">
        <f>SUM(C5:C21)</f>
        <v>1900</v>
      </c>
      <c r="D22" s="14">
        <f>SUM(D5:D21)</f>
        <v>36</v>
      </c>
      <c r="E22" s="14">
        <f>SUM(E5:E21)</f>
        <v>1936</v>
      </c>
      <c r="F22" s="15">
        <f t="shared" si="1"/>
        <v>-1864</v>
      </c>
      <c r="G22" s="16">
        <f t="shared" si="2"/>
        <v>-0.9810526315789474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52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445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237</v>
      </c>
      <c r="B5" s="3" t="s">
        <v>238</v>
      </c>
      <c r="C5" s="4">
        <v>220</v>
      </c>
      <c r="D5" s="4">
        <v>0</v>
      </c>
      <c r="E5" s="4">
        <f t="shared" ref="E5:E13" si="0">C5+D5</f>
        <v>220</v>
      </c>
      <c r="F5" s="5">
        <f t="shared" ref="F5:F14" si="1">D5-C5</f>
        <v>-220</v>
      </c>
      <c r="G5" s="6">
        <f t="shared" ref="G5:G14" si="2">IF(C5&gt;0, (D5-C5)/C5, "")</f>
        <v>-1</v>
      </c>
    </row>
    <row r="6" spans="1:7" ht="20.100000000000001" customHeight="1" x14ac:dyDescent="0.25">
      <c r="A6" s="7" t="s">
        <v>148</v>
      </c>
      <c r="B6" s="8" t="s">
        <v>149</v>
      </c>
      <c r="C6" s="9">
        <v>200</v>
      </c>
      <c r="D6" s="9">
        <v>0</v>
      </c>
      <c r="E6" s="9">
        <f t="shared" si="0"/>
        <v>200</v>
      </c>
      <c r="F6" s="10">
        <f t="shared" si="1"/>
        <v>-200</v>
      </c>
      <c r="G6" s="11">
        <f t="shared" si="2"/>
        <v>-1</v>
      </c>
    </row>
    <row r="7" spans="1:7" ht="20.100000000000001" customHeight="1" x14ac:dyDescent="0.25">
      <c r="A7" s="2" t="s">
        <v>83</v>
      </c>
      <c r="B7" s="3" t="s">
        <v>84</v>
      </c>
      <c r="C7" s="4">
        <v>100</v>
      </c>
      <c r="D7" s="4">
        <v>0</v>
      </c>
      <c r="E7" s="4">
        <f t="shared" si="0"/>
        <v>100</v>
      </c>
      <c r="F7" s="5">
        <f t="shared" si="1"/>
        <v>-100</v>
      </c>
      <c r="G7" s="6">
        <f t="shared" si="2"/>
        <v>-1</v>
      </c>
    </row>
    <row r="8" spans="1:7" ht="20.100000000000001" customHeight="1" x14ac:dyDescent="0.25">
      <c r="A8" s="7" t="s">
        <v>263</v>
      </c>
      <c r="B8" s="8" t="s">
        <v>264</v>
      </c>
      <c r="C8" s="9">
        <v>100</v>
      </c>
      <c r="D8" s="9">
        <v>0</v>
      </c>
      <c r="E8" s="9">
        <f t="shared" si="0"/>
        <v>100</v>
      </c>
      <c r="F8" s="10">
        <f t="shared" si="1"/>
        <v>-100</v>
      </c>
      <c r="G8" s="11">
        <f t="shared" si="2"/>
        <v>-1</v>
      </c>
    </row>
    <row r="9" spans="1:7" ht="20.100000000000001" customHeight="1" x14ac:dyDescent="0.25">
      <c r="A9" s="2" t="s">
        <v>320</v>
      </c>
      <c r="B9" s="3" t="s">
        <v>321</v>
      </c>
      <c r="C9" s="4">
        <v>60</v>
      </c>
      <c r="D9" s="4">
        <v>0</v>
      </c>
      <c r="E9" s="4">
        <f t="shared" si="0"/>
        <v>60</v>
      </c>
      <c r="F9" s="5">
        <f t="shared" si="1"/>
        <v>-60</v>
      </c>
      <c r="G9" s="6">
        <f t="shared" si="2"/>
        <v>-1</v>
      </c>
    </row>
    <row r="10" spans="1:7" ht="20.100000000000001" customHeight="1" x14ac:dyDescent="0.25">
      <c r="A10" s="7" t="s">
        <v>420</v>
      </c>
      <c r="B10" s="8" t="s">
        <v>421</v>
      </c>
      <c r="C10" s="9">
        <v>0</v>
      </c>
      <c r="D10" s="9">
        <v>35</v>
      </c>
      <c r="E10" s="9">
        <f t="shared" si="0"/>
        <v>35</v>
      </c>
      <c r="F10" s="10">
        <f t="shared" si="1"/>
        <v>35</v>
      </c>
      <c r="G10" s="11" t="str">
        <f t="shared" si="2"/>
        <v/>
      </c>
    </row>
    <row r="11" spans="1:7" ht="20.100000000000001" customHeight="1" x14ac:dyDescent="0.25">
      <c r="A11" s="2" t="s">
        <v>116</v>
      </c>
      <c r="B11" s="3" t="s">
        <v>117</v>
      </c>
      <c r="C11" s="4">
        <v>20</v>
      </c>
      <c r="D11" s="4">
        <v>0</v>
      </c>
      <c r="E11" s="4">
        <f t="shared" si="0"/>
        <v>20</v>
      </c>
      <c r="F11" s="5">
        <f t="shared" si="1"/>
        <v>-20</v>
      </c>
      <c r="G11" s="6">
        <f t="shared" si="2"/>
        <v>-1</v>
      </c>
    </row>
    <row r="12" spans="1:7" ht="20.100000000000001" customHeight="1" x14ac:dyDescent="0.25">
      <c r="A12" s="7" t="s">
        <v>314</v>
      </c>
      <c r="B12" s="8" t="s">
        <v>315</v>
      </c>
      <c r="C12" s="9">
        <v>20</v>
      </c>
      <c r="D12" s="9">
        <v>0</v>
      </c>
      <c r="E12" s="9">
        <f t="shared" si="0"/>
        <v>20</v>
      </c>
      <c r="F12" s="10">
        <f t="shared" si="1"/>
        <v>-20</v>
      </c>
      <c r="G12" s="11">
        <f t="shared" si="2"/>
        <v>-1</v>
      </c>
    </row>
    <row r="13" spans="1:7" ht="20.100000000000001" customHeight="1" x14ac:dyDescent="0.25">
      <c r="A13" s="2" t="s">
        <v>426</v>
      </c>
      <c r="B13" s="3" t="s">
        <v>427</v>
      </c>
      <c r="C13" s="4">
        <v>10</v>
      </c>
      <c r="D13" s="4">
        <v>0</v>
      </c>
      <c r="E13" s="4">
        <f t="shared" si="0"/>
        <v>10</v>
      </c>
      <c r="F13" s="5">
        <f t="shared" si="1"/>
        <v>-10</v>
      </c>
      <c r="G13" s="6">
        <f t="shared" si="2"/>
        <v>-1</v>
      </c>
    </row>
    <row r="14" spans="1:7" ht="24" customHeight="1" x14ac:dyDescent="0.3">
      <c r="A14" s="12"/>
      <c r="B14" s="13" t="s">
        <v>433</v>
      </c>
      <c r="C14" s="14">
        <f>SUM(C5:C13)</f>
        <v>730</v>
      </c>
      <c r="D14" s="14">
        <f>SUM(D5:D13)</f>
        <v>35</v>
      </c>
      <c r="E14" s="14">
        <f>SUM(E5:E13)</f>
        <v>765</v>
      </c>
      <c r="F14" s="15">
        <f t="shared" si="1"/>
        <v>-695</v>
      </c>
      <c r="G14" s="16">
        <f t="shared" si="2"/>
        <v>-0.95205479452054798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5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446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18</v>
      </c>
      <c r="B5" s="3" t="s">
        <v>19</v>
      </c>
      <c r="C5" s="4">
        <v>150</v>
      </c>
      <c r="D5" s="4">
        <v>160</v>
      </c>
      <c r="E5" s="4">
        <f>C5+D5</f>
        <v>310</v>
      </c>
      <c r="F5" s="5">
        <f>D5-C5</f>
        <v>10</v>
      </c>
      <c r="G5" s="6">
        <f>IF(C5&gt;0, (D5-C5)/C5, "")</f>
        <v>6.6666666666666666E-2</v>
      </c>
    </row>
    <row r="6" spans="1:7" ht="20.100000000000001" customHeight="1" x14ac:dyDescent="0.25">
      <c r="A6" s="7" t="s">
        <v>416</v>
      </c>
      <c r="B6" s="8" t="s">
        <v>417</v>
      </c>
      <c r="C6" s="9">
        <v>50</v>
      </c>
      <c r="D6" s="9">
        <v>0</v>
      </c>
      <c r="E6" s="9">
        <f>C6+D6</f>
        <v>50</v>
      </c>
      <c r="F6" s="10">
        <f>D6-C6</f>
        <v>-50</v>
      </c>
      <c r="G6" s="11">
        <f>IF(C6&gt;0, (D6-C6)/C6, "")</f>
        <v>-1</v>
      </c>
    </row>
    <row r="7" spans="1:7" ht="20.100000000000001" customHeight="1" x14ac:dyDescent="0.25">
      <c r="A7" s="2" t="s">
        <v>273</v>
      </c>
      <c r="B7" s="3" t="s">
        <v>274</v>
      </c>
      <c r="C7" s="4">
        <v>0</v>
      </c>
      <c r="D7" s="4">
        <v>20</v>
      </c>
      <c r="E7" s="4">
        <f>C7+D7</f>
        <v>20</v>
      </c>
      <c r="F7" s="5">
        <f>D7-C7</f>
        <v>20</v>
      </c>
      <c r="G7" s="6" t="str">
        <f>IF(C7&gt;0, (D7-C7)/C7, "")</f>
        <v/>
      </c>
    </row>
    <row r="8" spans="1:7" ht="24" customHeight="1" x14ac:dyDescent="0.3">
      <c r="A8" s="12"/>
      <c r="B8" s="13" t="s">
        <v>433</v>
      </c>
      <c r="C8" s="14">
        <f>SUM(C5:C7)</f>
        <v>200</v>
      </c>
      <c r="D8" s="14">
        <f>SUM(D5:D7)</f>
        <v>180</v>
      </c>
      <c r="E8" s="14">
        <f>SUM(E5:E7)</f>
        <v>380</v>
      </c>
      <c r="F8" s="15">
        <f>D8-C8</f>
        <v>-20</v>
      </c>
      <c r="G8" s="16">
        <f>IF(C8&gt;0, (D8-C8)/C8, "")</f>
        <v>-0.1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5" customWidth="1"/>
    <col min="3" max="5" width="17" customWidth="1"/>
    <col min="6" max="6" width="21" customWidth="1"/>
    <col min="7" max="7" width="20" customWidth="1"/>
  </cols>
  <sheetData>
    <row r="1" spans="1:7" ht="27.95" customHeight="1" x14ac:dyDescent="0.25">
      <c r="A1" s="19" t="s">
        <v>447</v>
      </c>
      <c r="B1" s="18"/>
      <c r="C1" s="18"/>
      <c r="D1" s="18"/>
      <c r="E1" s="18"/>
      <c r="F1" s="18"/>
      <c r="G1" s="18"/>
    </row>
    <row r="2" spans="1:7" ht="18" customHeight="1" x14ac:dyDescent="0.25">
      <c r="A2" s="17" t="s">
        <v>1</v>
      </c>
      <c r="B2" s="18"/>
      <c r="C2" s="18"/>
      <c r="D2" s="18"/>
      <c r="E2" s="18"/>
      <c r="F2" s="18"/>
      <c r="G2" s="18"/>
    </row>
    <row r="3" spans="1:7" ht="9.9499999999999993" customHeight="1" x14ac:dyDescent="0.25"/>
    <row r="4" spans="1:7" ht="36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0.100000000000001" customHeight="1" x14ac:dyDescent="0.25">
      <c r="A5" s="2" t="s">
        <v>18</v>
      </c>
      <c r="B5" s="3" t="s">
        <v>19</v>
      </c>
      <c r="C5" s="4">
        <v>40</v>
      </c>
      <c r="D5" s="4">
        <v>0</v>
      </c>
      <c r="E5" s="4">
        <f>C5+D5</f>
        <v>40</v>
      </c>
      <c r="F5" s="5">
        <f>D5-C5</f>
        <v>-40</v>
      </c>
      <c r="G5" s="6">
        <f>IF(C5&gt;0, (D5-C5)/C5, "")</f>
        <v>-1</v>
      </c>
    </row>
    <row r="6" spans="1:7" ht="20.100000000000001" customHeight="1" x14ac:dyDescent="0.25">
      <c r="A6" s="7" t="s">
        <v>344</v>
      </c>
      <c r="B6" s="8" t="s">
        <v>345</v>
      </c>
      <c r="C6" s="9">
        <v>0</v>
      </c>
      <c r="D6" s="9">
        <v>10</v>
      </c>
      <c r="E6" s="9">
        <f>C6+D6</f>
        <v>10</v>
      </c>
      <c r="F6" s="10">
        <f>D6-C6</f>
        <v>10</v>
      </c>
      <c r="G6" s="11" t="str">
        <f>IF(C6&gt;0, (D6-C6)/C6, "")</f>
        <v/>
      </c>
    </row>
    <row r="7" spans="1:7" ht="20.100000000000001" customHeight="1" x14ac:dyDescent="0.25">
      <c r="A7" s="2" t="s">
        <v>273</v>
      </c>
      <c r="B7" s="3" t="s">
        <v>274</v>
      </c>
      <c r="C7" s="4">
        <v>0</v>
      </c>
      <c r="D7" s="4">
        <v>10</v>
      </c>
      <c r="E7" s="4">
        <f>C7+D7</f>
        <v>10</v>
      </c>
      <c r="F7" s="5">
        <f>D7-C7</f>
        <v>10</v>
      </c>
      <c r="G7" s="6" t="str">
        <f>IF(C7&gt;0, (D7-C7)/C7, "")</f>
        <v/>
      </c>
    </row>
    <row r="8" spans="1:7" ht="24" customHeight="1" x14ac:dyDescent="0.3">
      <c r="A8" s="12"/>
      <c r="B8" s="13" t="s">
        <v>433</v>
      </c>
      <c r="C8" s="14">
        <f>SUM(C5:C7)</f>
        <v>40</v>
      </c>
      <c r="D8" s="14">
        <f>SUM(D5:D7)</f>
        <v>20</v>
      </c>
      <c r="E8" s="14">
        <f>SUM(E5:E7)</f>
        <v>60</v>
      </c>
      <c r="F8" s="15">
        <f>D8-C8</f>
        <v>-20</v>
      </c>
      <c r="G8" s="16">
        <f>IF(C8&gt;0, (D8-C8)/C8, "")</f>
        <v>-0.5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Synthèse Globale</vt:lpstr>
      <vt:lpstr>100 IMP</vt:lpstr>
      <vt:lpstr>100 IZI</vt:lpstr>
      <vt:lpstr>200 STAT</vt:lpstr>
      <vt:lpstr>500 STAT</vt:lpstr>
      <vt:lpstr>1000 STAT</vt:lpstr>
      <vt:lpstr>200 IMP</vt:lpstr>
      <vt:lpstr>500 IMP</vt:lpstr>
      <vt:lpstr>1000 IMP</vt:lpstr>
      <vt:lpstr>2000 STAT</vt:lpstr>
      <vt:lpstr>1500 STAT</vt:lpstr>
      <vt:lpstr>1500 IMP</vt:lpstr>
      <vt:lpstr>2000 IMP</vt:lpstr>
      <vt:lpstr>1200  STAT</vt:lpstr>
      <vt:lpstr>3500 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-006</cp:lastModifiedBy>
  <dcterms:created xsi:type="dcterms:W3CDTF">2026-09-23T14:37:20Z</dcterms:created>
  <dcterms:modified xsi:type="dcterms:W3CDTF">2026-09-23T14:46:38Z</dcterms:modified>
</cp:coreProperties>
</file>